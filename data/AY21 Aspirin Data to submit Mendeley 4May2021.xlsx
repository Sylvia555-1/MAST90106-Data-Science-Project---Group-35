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21 DHR3 Work\"/>
    </mc:Choice>
  </mc:AlternateContent>
  <xr:revisionPtr revIDLastSave="0" documentId="13_ncr:1_{A35E2302-A7B5-4117-ABE3-CF904133884A}" xr6:coauthVersionLast="46" xr6:coauthVersionMax="46" xr10:uidLastSave="{00000000-0000-0000-0000-000000000000}"/>
  <bookViews>
    <workbookView xWindow="28680" yWindow="-120" windowWidth="29040" windowHeight="15840" xr2:uid="{81B0ABA7-E536-4729-BACD-F5DFC3E2D46D}"/>
  </bookViews>
  <sheets>
    <sheet name="LAB Data" sheetId="2" r:id="rId1"/>
    <sheet name="Donor1 AY21" sheetId="1" r:id="rId2"/>
    <sheet name="Donor2 AY21" sheetId="7" r:id="rId3"/>
    <sheet name="Donor3 AY21" sheetId="8" r:id="rId4"/>
    <sheet name="Donor4 AY21" sheetId="9" r:id="rId5"/>
    <sheet name="Donor5 AY21" sheetId="11" r:id="rId6"/>
    <sheet name="Donor6 AY21" sheetId="12" r:id="rId7"/>
    <sheet name="Donor7 AY21" sheetId="13" r:id="rId8"/>
    <sheet name="Donor8 AY21" sheetId="14" r:id="rId9"/>
    <sheet name="Donor9 AY21" sheetId="15" r:id="rId10"/>
    <sheet name="Donor10 AY21" sheetId="16" r:id="rId11"/>
    <sheet name="Donor11 AY21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3" i="2" l="1"/>
  <c r="F43" i="2"/>
  <c r="E43" i="2"/>
  <c r="D43" i="2"/>
  <c r="C43" i="2"/>
  <c r="B43" i="2"/>
  <c r="C33" i="2"/>
  <c r="B33" i="2"/>
  <c r="G58" i="2"/>
  <c r="F58" i="2"/>
  <c r="E58" i="2"/>
  <c r="D58" i="2"/>
  <c r="C58" i="2"/>
  <c r="B58" i="2"/>
  <c r="G53" i="2"/>
  <c r="F53" i="2"/>
  <c r="E53" i="2"/>
  <c r="D53" i="2"/>
  <c r="C53" i="2"/>
  <c r="B53" i="2"/>
  <c r="G48" i="2"/>
  <c r="F48" i="2"/>
  <c r="E48" i="2"/>
  <c r="D48" i="2"/>
  <c r="C48" i="2"/>
  <c r="B48" i="2"/>
  <c r="G38" i="2"/>
  <c r="F38" i="2"/>
  <c r="E38" i="2"/>
  <c r="D38" i="2"/>
  <c r="C38" i="2"/>
  <c r="B38" i="2"/>
  <c r="G28" i="2"/>
  <c r="F28" i="2"/>
  <c r="E28" i="2"/>
  <c r="D28" i="2"/>
  <c r="C28" i="2"/>
  <c r="B28" i="2"/>
  <c r="G23" i="2"/>
  <c r="F23" i="2"/>
  <c r="E23" i="2"/>
  <c r="D23" i="2"/>
  <c r="B23" i="2"/>
  <c r="G18" i="2"/>
  <c r="F18" i="2"/>
  <c r="E18" i="2"/>
  <c r="D18" i="2"/>
  <c r="C18" i="2"/>
  <c r="B18" i="2"/>
  <c r="B59" i="2" s="1"/>
  <c r="G13" i="2"/>
  <c r="F13" i="2"/>
  <c r="E13" i="2"/>
  <c r="D13" i="2"/>
  <c r="C13" i="2"/>
  <c r="B13" i="2"/>
  <c r="C8" i="2"/>
  <c r="C59" i="2" s="1"/>
  <c r="D8" i="2"/>
  <c r="D59" i="2" s="1"/>
  <c r="E8" i="2"/>
  <c r="F8" i="2"/>
  <c r="G8" i="2"/>
  <c r="B8" i="2"/>
  <c r="J46" i="2"/>
  <c r="J51" i="2"/>
  <c r="J56" i="2" l="1"/>
  <c r="C22" i="17" l="1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21" i="17"/>
  <c r="C22" i="16" l="1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21" i="16"/>
  <c r="B22" i="17" l="1"/>
  <c r="D22" i="17" s="1"/>
  <c r="B23" i="17"/>
  <c r="D23" i="17" s="1"/>
  <c r="B24" i="17"/>
  <c r="D24" i="17" s="1"/>
  <c r="B25" i="17"/>
  <c r="D25" i="17" s="1"/>
  <c r="B26" i="17"/>
  <c r="D26" i="17" s="1"/>
  <c r="B27" i="17"/>
  <c r="D27" i="17" s="1"/>
  <c r="B28" i="17"/>
  <c r="D28" i="17" s="1"/>
  <c r="B29" i="17"/>
  <c r="D29" i="17" s="1"/>
  <c r="B30" i="17"/>
  <c r="D30" i="17" s="1"/>
  <c r="B31" i="17"/>
  <c r="D31" i="17" s="1"/>
  <c r="B32" i="17"/>
  <c r="D32" i="17" s="1"/>
  <c r="B33" i="17"/>
  <c r="D33" i="17" s="1"/>
  <c r="B34" i="17"/>
  <c r="D34" i="17" s="1"/>
  <c r="B35" i="17"/>
  <c r="D35" i="17" s="1"/>
  <c r="B36" i="17"/>
  <c r="D36" i="17" s="1"/>
  <c r="B37" i="17"/>
  <c r="D37" i="17" s="1"/>
  <c r="B21" i="17"/>
  <c r="D21" i="17" s="1"/>
  <c r="I56" i="2"/>
  <c r="J54" i="2"/>
  <c r="I54" i="2"/>
  <c r="D38" i="17" l="1"/>
  <c r="B22" i="16"/>
  <c r="D22" i="16" s="1"/>
  <c r="B23" i="16"/>
  <c r="D23" i="16" s="1"/>
  <c r="B24" i="16"/>
  <c r="D24" i="16" s="1"/>
  <c r="B25" i="16"/>
  <c r="D25" i="16" s="1"/>
  <c r="B26" i="16"/>
  <c r="D26" i="16" s="1"/>
  <c r="B32" i="16"/>
  <c r="D32" i="16" s="1"/>
  <c r="B33" i="16"/>
  <c r="D33" i="16" s="1"/>
  <c r="B34" i="16"/>
  <c r="D34" i="16" s="1"/>
  <c r="B35" i="16"/>
  <c r="D35" i="16" s="1"/>
  <c r="B36" i="16"/>
  <c r="D36" i="16" s="1"/>
  <c r="B21" i="16"/>
  <c r="D21" i="16" s="1"/>
  <c r="I51" i="2"/>
  <c r="J49" i="2"/>
  <c r="I49" i="2"/>
  <c r="D38" i="16" l="1"/>
  <c r="I46" i="2"/>
  <c r="J44" i="2"/>
  <c r="I44" i="2"/>
  <c r="J41" i="2"/>
  <c r="I41" i="2"/>
  <c r="J39" i="2"/>
  <c r="I39" i="2"/>
  <c r="J36" i="2"/>
  <c r="I36" i="2"/>
  <c r="J34" i="2"/>
  <c r="I34" i="2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21" i="15"/>
  <c r="J26" i="2" l="1"/>
  <c r="I26" i="2"/>
  <c r="C22" i="14" l="1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21" i="14"/>
  <c r="B22" i="15" l="1"/>
  <c r="D22" i="15" s="1"/>
  <c r="B23" i="15"/>
  <c r="D23" i="15" s="1"/>
  <c r="B24" i="15"/>
  <c r="D24" i="15" s="1"/>
  <c r="B25" i="15"/>
  <c r="D25" i="15" s="1"/>
  <c r="B26" i="15"/>
  <c r="D26" i="15" s="1"/>
  <c r="B27" i="15"/>
  <c r="D27" i="15" s="1"/>
  <c r="B28" i="15"/>
  <c r="D28" i="15" s="1"/>
  <c r="B29" i="15"/>
  <c r="D29" i="15" s="1"/>
  <c r="B30" i="15"/>
  <c r="D30" i="15" s="1"/>
  <c r="B31" i="15"/>
  <c r="D31" i="15" s="1"/>
  <c r="B32" i="15"/>
  <c r="D32" i="15" s="1"/>
  <c r="B33" i="15"/>
  <c r="D33" i="15" s="1"/>
  <c r="B34" i="15"/>
  <c r="D34" i="15" s="1"/>
  <c r="B35" i="15"/>
  <c r="D35" i="15" s="1"/>
  <c r="B36" i="15"/>
  <c r="D36" i="15" s="1"/>
  <c r="B37" i="15"/>
  <c r="D37" i="15" s="1"/>
  <c r="B21" i="15"/>
  <c r="D21" i="15" s="1"/>
  <c r="D38" i="15" l="1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21" i="13"/>
  <c r="C22" i="12" l="1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21" i="12"/>
  <c r="C21" i="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21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2" i="12"/>
  <c r="B22" i="14" l="1"/>
  <c r="D22" i="14" s="1"/>
  <c r="B23" i="14"/>
  <c r="D23" i="14" s="1"/>
  <c r="B24" i="14"/>
  <c r="D24" i="14" s="1"/>
  <c r="B25" i="14"/>
  <c r="D25" i="14" s="1"/>
  <c r="B26" i="14"/>
  <c r="D26" i="14" s="1"/>
  <c r="B27" i="14"/>
  <c r="D27" i="14" s="1"/>
  <c r="B28" i="14"/>
  <c r="D28" i="14" s="1"/>
  <c r="B29" i="14"/>
  <c r="D29" i="14" s="1"/>
  <c r="B30" i="14"/>
  <c r="D30" i="14" s="1"/>
  <c r="B31" i="14"/>
  <c r="D31" i="14" s="1"/>
  <c r="B32" i="14"/>
  <c r="D32" i="14" s="1"/>
  <c r="B33" i="14"/>
  <c r="D33" i="14" s="1"/>
  <c r="B34" i="14"/>
  <c r="D34" i="14" s="1"/>
  <c r="B35" i="14"/>
  <c r="D35" i="14" s="1"/>
  <c r="B36" i="14"/>
  <c r="D36" i="14" s="1"/>
  <c r="B37" i="14"/>
  <c r="D37" i="14" s="1"/>
  <c r="B21" i="14"/>
  <c r="D21" i="14" s="1"/>
  <c r="D38" i="14" s="1"/>
  <c r="B22" i="13" l="1"/>
  <c r="D22" i="13" s="1"/>
  <c r="B23" i="13"/>
  <c r="D23" i="13" s="1"/>
  <c r="B24" i="13"/>
  <c r="D24" i="13" s="1"/>
  <c r="B25" i="13"/>
  <c r="D25" i="13" s="1"/>
  <c r="B26" i="13"/>
  <c r="D26" i="13" s="1"/>
  <c r="B27" i="13"/>
  <c r="D27" i="13" s="1"/>
  <c r="B28" i="13"/>
  <c r="D28" i="13" s="1"/>
  <c r="B29" i="13"/>
  <c r="D29" i="13" s="1"/>
  <c r="B30" i="13"/>
  <c r="D30" i="13" s="1"/>
  <c r="B31" i="13"/>
  <c r="D31" i="13" s="1"/>
  <c r="B32" i="13"/>
  <c r="D32" i="13" s="1"/>
  <c r="B33" i="13"/>
  <c r="D33" i="13" s="1"/>
  <c r="B34" i="13"/>
  <c r="D34" i="13" s="1"/>
  <c r="B35" i="13"/>
  <c r="D35" i="13" s="1"/>
  <c r="B36" i="13"/>
  <c r="D36" i="13" s="1"/>
  <c r="B37" i="13"/>
  <c r="D37" i="13" s="1"/>
  <c r="B21" i="13"/>
  <c r="D21" i="13" s="1"/>
  <c r="D38" i="13" s="1"/>
  <c r="J29" i="2" l="1"/>
  <c r="I29" i="2"/>
  <c r="J21" i="2" l="1"/>
  <c r="I21" i="2"/>
  <c r="J24" i="2"/>
  <c r="I24" i="2"/>
  <c r="B22" i="12" l="1"/>
  <c r="D22" i="12" s="1"/>
  <c r="B23" i="12"/>
  <c r="D23" i="12" s="1"/>
  <c r="B24" i="12"/>
  <c r="D24" i="12" s="1"/>
  <c r="B25" i="12"/>
  <c r="D25" i="12" s="1"/>
  <c r="B26" i="12"/>
  <c r="D26" i="12" s="1"/>
  <c r="B27" i="12"/>
  <c r="D27" i="12" s="1"/>
  <c r="B28" i="12"/>
  <c r="D28" i="12" s="1"/>
  <c r="B29" i="12"/>
  <c r="D29" i="12" s="1"/>
  <c r="B30" i="12"/>
  <c r="D30" i="12" s="1"/>
  <c r="B31" i="12"/>
  <c r="D31" i="12" s="1"/>
  <c r="B32" i="12"/>
  <c r="D32" i="12" s="1"/>
  <c r="B33" i="12"/>
  <c r="D33" i="12" s="1"/>
  <c r="B34" i="12"/>
  <c r="D34" i="12" s="1"/>
  <c r="B35" i="12"/>
  <c r="D35" i="12" s="1"/>
  <c r="B36" i="12"/>
  <c r="D36" i="12" s="1"/>
  <c r="B37" i="12"/>
  <c r="D37" i="12" s="1"/>
  <c r="B21" i="12"/>
  <c r="D21" i="12" s="1"/>
  <c r="D38" i="12" l="1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21" i="9"/>
  <c r="B22" i="11" l="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21" i="11"/>
  <c r="D21" i="11" s="1"/>
  <c r="D38" i="11" l="1"/>
  <c r="J19" i="2"/>
  <c r="I19" i="2"/>
  <c r="B22" i="9" l="1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36" i="9"/>
  <c r="D36" i="9" s="1"/>
  <c r="B37" i="9"/>
  <c r="D37" i="9" s="1"/>
  <c r="B21" i="9"/>
  <c r="D21" i="9" s="1"/>
  <c r="D38" i="9" l="1"/>
  <c r="J16" i="2"/>
  <c r="I16" i="2"/>
  <c r="C22" i="8" l="1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21" i="8"/>
  <c r="J14" i="2"/>
  <c r="I14" i="2"/>
  <c r="D33" i="8" l="1"/>
  <c r="D32" i="8"/>
  <c r="D24" i="8"/>
  <c r="D23" i="8"/>
  <c r="D21" i="8"/>
  <c r="D30" i="8"/>
  <c r="D22" i="8"/>
  <c r="B22" i="8"/>
  <c r="B23" i="8"/>
  <c r="B24" i="8"/>
  <c r="B25" i="8"/>
  <c r="D25" i="8" s="1"/>
  <c r="B26" i="8"/>
  <c r="D26" i="8" s="1"/>
  <c r="B27" i="8"/>
  <c r="D27" i="8" s="1"/>
  <c r="B28" i="8"/>
  <c r="D28" i="8" s="1"/>
  <c r="B29" i="8"/>
  <c r="D29" i="8" s="1"/>
  <c r="B30" i="8"/>
  <c r="B31" i="8"/>
  <c r="D31" i="8" s="1"/>
  <c r="B32" i="8"/>
  <c r="B33" i="8"/>
  <c r="B34" i="8"/>
  <c r="D34" i="8" s="1"/>
  <c r="B35" i="8"/>
  <c r="D35" i="8" s="1"/>
  <c r="B36" i="8"/>
  <c r="D36" i="8" s="1"/>
  <c r="B37" i="8"/>
  <c r="D37" i="8" s="1"/>
  <c r="B21" i="8"/>
  <c r="J11" i="2"/>
  <c r="I11" i="2"/>
  <c r="D38" i="8" l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21" i="7"/>
  <c r="D21" i="7" s="1"/>
  <c r="D38" i="7" l="1"/>
  <c r="J9" i="2" l="1"/>
  <c r="I9" i="2"/>
  <c r="J6" i="2"/>
  <c r="I6" i="2"/>
  <c r="C22" i="1" l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J4" i="2" l="1"/>
  <c r="I4" i="2"/>
  <c r="B22" i="1" l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21" i="1"/>
  <c r="D21" i="1" s="1"/>
  <c r="D38" i="1" l="1"/>
</calcChain>
</file>

<file path=xl/sharedStrings.xml><?xml version="1.0" encoding="utf-8"?>
<sst xmlns="http://schemas.openxmlformats.org/spreadsheetml/2006/main" count="179" uniqueCount="67">
  <si>
    <t>Shear Rate (1/s)</t>
  </si>
  <si>
    <t>Stress (Pa)</t>
  </si>
  <si>
    <t>Visc. (Pa s)</t>
  </si>
  <si>
    <t>Normal</t>
  </si>
  <si>
    <t>35-45%</t>
  </si>
  <si>
    <t>&lt;200 mg/dL</t>
  </si>
  <si>
    <t>&lt;150 mg/dL</t>
  </si>
  <si>
    <t>40-60 mg/dL</t>
  </si>
  <si>
    <t>100-159 mg/dL</t>
  </si>
  <si>
    <t>50-110 mg/dL</t>
  </si>
  <si>
    <t>Donor</t>
  </si>
  <si>
    <t>HCT</t>
  </si>
  <si>
    <t>Tot. Chol.</t>
  </si>
  <si>
    <t>Triglyc.</t>
  </si>
  <si>
    <t>HDL Chol.</t>
  </si>
  <si>
    <t>LDL Chol.</t>
  </si>
  <si>
    <t>Gluc.</t>
  </si>
  <si>
    <t>(LDL/HDL)</t>
  </si>
  <si>
    <t>(TG/HDL)</t>
  </si>
  <si>
    <t>WBC</t>
  </si>
  <si>
    <t>RBC</t>
  </si>
  <si>
    <t>Blood Type</t>
  </si>
  <si>
    <t>(M/F)</t>
  </si>
  <si>
    <t>Age</t>
  </si>
  <si>
    <t>(%)</t>
  </si>
  <si>
    <t>(mg/mL)</t>
  </si>
  <si>
    <t>(mg/dL)</t>
  </si>
  <si>
    <t>O+</t>
  </si>
  <si>
    <t xml:space="preserve">M </t>
  </si>
  <si>
    <t>1 (Before)</t>
  </si>
  <si>
    <t>1 (After)</t>
  </si>
  <si>
    <t>Fib</t>
  </si>
  <si>
    <t>2 (Before)</t>
  </si>
  <si>
    <t>2 (After)</t>
  </si>
  <si>
    <r>
      <t>(10</t>
    </r>
    <r>
      <rPr>
        <b/>
        <vertAlign val="superscript"/>
        <sz val="10"/>
        <color theme="1"/>
        <rFont val="Times New Roman"/>
        <family val="1"/>
      </rPr>
      <t>6</t>
    </r>
    <r>
      <rPr>
        <b/>
        <sz val="10"/>
        <color theme="1"/>
        <rFont val="Times New Roman"/>
        <family val="1"/>
      </rPr>
      <t xml:space="preserve"> /uL)</t>
    </r>
  </si>
  <si>
    <r>
      <t>(10</t>
    </r>
    <r>
      <rPr>
        <b/>
        <vertAlign val="super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/uL)</t>
    </r>
  </si>
  <si>
    <t>VISC (Pa s)</t>
  </si>
  <si>
    <t xml:space="preserve">  </t>
  </si>
  <si>
    <t>3 (Before)</t>
  </si>
  <si>
    <t>3 (After)</t>
  </si>
  <si>
    <t>B-</t>
  </si>
  <si>
    <t>4 (Before)</t>
  </si>
  <si>
    <t>4 (After)</t>
  </si>
  <si>
    <t>-</t>
  </si>
  <si>
    <t>5 (Before)</t>
  </si>
  <si>
    <t>5 (After)</t>
  </si>
  <si>
    <t>%DIF</t>
  </si>
  <si>
    <t>6 (Before)</t>
  </si>
  <si>
    <t>6 (After)</t>
  </si>
  <si>
    <t>7 (Before)</t>
  </si>
  <si>
    <t>7 (After)</t>
  </si>
  <si>
    <t>viscosity</t>
  </si>
  <si>
    <t>M</t>
  </si>
  <si>
    <t>8 (Before)</t>
  </si>
  <si>
    <t>8 (After)</t>
  </si>
  <si>
    <t>%DIFF</t>
  </si>
  <si>
    <t>9 (Before)</t>
  </si>
  <si>
    <t>9 (After)</t>
  </si>
  <si>
    <t>A+</t>
  </si>
  <si>
    <t xml:space="preserve"> </t>
  </si>
  <si>
    <t>10 (Before)</t>
  </si>
  <si>
    <t>10 (After)</t>
  </si>
  <si>
    <t>11 (Before)</t>
  </si>
  <si>
    <t>11 (After)</t>
  </si>
  <si>
    <t>viscosity (Pa s)</t>
  </si>
  <si>
    <t>DIF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</si>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</sst>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"/>
      <family val="1"/>
    </font>
    <font>
      <sz val="12"/>
      <color theme="1"/>
      <name val="Times"/>
      <family val="1"/>
    </font>
    <font>
      <b/>
      <vertAlign val="superscript"/>
      <sz val="10"/>
      <color theme="1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4" borderId="1" xfId="0" applyFont="1" applyFill="1" applyBorder="1"/>
    <xf numFmtId="0" fontId="2" fillId="0" borderId="0" xfId="0" applyFont="1"/>
    <xf numFmtId="0" fontId="3" fillId="0" borderId="1" xfId="0" quotePrefix="1" applyFont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1" fillId="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/>
    <xf numFmtId="0" fontId="1" fillId="3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6" xfId="0" quotePrefix="1" applyFont="1" applyFill="1" applyBorder="1"/>
    <xf numFmtId="0" fontId="1" fillId="2" borderId="4" xfId="0" applyFont="1" applyFill="1" applyBorder="1"/>
    <xf numFmtId="165" fontId="7" fillId="2" borderId="4" xfId="0" applyNumberFormat="1" applyFont="1" applyFill="1" applyBorder="1" applyAlignment="1">
      <alignment horizontal="center"/>
    </xf>
    <xf numFmtId="0" fontId="0" fillId="6" borderId="1" xfId="0" quotePrefix="1" applyFill="1" applyBorder="1"/>
    <xf numFmtId="0" fontId="0" fillId="6" borderId="1" xfId="0" applyFill="1" applyBorder="1"/>
    <xf numFmtId="0" fontId="9" fillId="6" borderId="1" xfId="0" applyFont="1" applyFill="1" applyBorder="1"/>
    <xf numFmtId="0" fontId="1" fillId="7" borderId="4" xfId="0" applyFont="1" applyFill="1" applyBorder="1"/>
    <xf numFmtId="0" fontId="7" fillId="7" borderId="4" xfId="0" applyFont="1" applyFill="1" applyBorder="1" applyAlignment="1">
      <alignment horizontal="center"/>
    </xf>
    <xf numFmtId="0" fontId="7" fillId="6" borderId="1" xfId="0" applyFont="1" applyFill="1" applyBorder="1"/>
    <xf numFmtId="0" fontId="1" fillId="6" borderId="1" xfId="0" applyFont="1" applyFill="1" applyBorder="1"/>
    <xf numFmtId="0" fontId="9" fillId="6" borderId="1" xfId="0" quotePrefix="1" applyFont="1" applyFill="1" applyBorder="1"/>
    <xf numFmtId="9" fontId="0" fillId="0" borderId="0" xfId="0" applyNumberFormat="1"/>
    <xf numFmtId="0" fontId="1" fillId="6" borderId="6" xfId="0" applyFont="1" applyFill="1" applyBorder="1"/>
    <xf numFmtId="0" fontId="1" fillId="6" borderId="12" xfId="0" applyFont="1" applyFill="1" applyBorder="1"/>
    <xf numFmtId="0" fontId="0" fillId="6" borderId="0" xfId="0" applyFill="1"/>
    <xf numFmtId="0" fontId="9" fillId="6" borderId="0" xfId="0" applyFont="1" applyFill="1"/>
    <xf numFmtId="0" fontId="10" fillId="6" borderId="0" xfId="0" applyFont="1" applyFill="1"/>
    <xf numFmtId="0" fontId="11" fillId="6" borderId="0" xfId="0" applyFont="1" applyFill="1"/>
    <xf numFmtId="0" fontId="0" fillId="0" borderId="0" xfId="0" quotePrefix="1"/>
    <xf numFmtId="0" fontId="2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2" fontId="6" fillId="8" borderId="6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 wrapText="1"/>
    </xf>
    <xf numFmtId="2" fontId="6" fillId="10" borderId="2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2" fillId="0" borderId="0" xfId="0" applyFont="1"/>
    <xf numFmtId="0" fontId="8" fillId="7" borderId="2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2" fontId="6" fillId="10" borderId="1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6" fillId="10" borderId="2" xfId="0" quotePrefix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 wrapText="1"/>
    </xf>
    <xf numFmtId="2" fontId="6" fillId="9" borderId="9" xfId="0" applyNumberFormat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2" xfId="0" quotePrefix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 wrapText="1"/>
    </xf>
    <xf numFmtId="2" fontId="6" fillId="9" borderId="9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 wrapText="1"/>
    </xf>
    <xf numFmtId="0" fontId="6" fillId="8" borderId="2" xfId="0" quotePrefix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 vertical="center"/>
    </xf>
    <xf numFmtId="2" fontId="6" fillId="8" borderId="10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/>
    </xf>
    <xf numFmtId="2" fontId="6" fillId="5" borderId="9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 vertical="center" wrapText="1"/>
    </xf>
    <xf numFmtId="2" fontId="6" fillId="8" borderId="10" xfId="0" applyNumberFormat="1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 wrapText="1"/>
    </xf>
    <xf numFmtId="2" fontId="6" fillId="10" borderId="9" xfId="0" applyNumberFormat="1" applyFont="1" applyFill="1" applyBorder="1" applyAlignment="1">
      <alignment horizontal="center" vertical="center"/>
    </xf>
    <xf numFmtId="2" fontId="6" fillId="10" borderId="9" xfId="0" applyNumberFormat="1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2" fontId="6" fillId="10" borderId="11" xfId="0" applyNumberFormat="1" applyFont="1" applyFill="1" applyBorder="1" applyAlignment="1">
      <alignment horizontal="center" vertical="center" wrapText="1"/>
    </xf>
    <xf numFmtId="2" fontId="6" fillId="10" borderId="3" xfId="0" applyNumberFormat="1" applyFont="1" applyFill="1" applyBorder="1" applyAlignment="1">
      <alignment horizontal="center" vertical="center" wrapText="1"/>
    </xf>
    <xf numFmtId="2" fontId="6" fillId="10" borderId="11" xfId="0" applyNumberFormat="1" applyFont="1" applyFill="1" applyBorder="1" applyAlignment="1">
      <alignment horizontal="center" vertical="center"/>
    </xf>
    <xf numFmtId="2" fontId="6" fillId="10" borderId="3" xfId="0" applyNumberFormat="1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7" borderId="2" xfId="0" quotePrefix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 wrapText="1"/>
    </xf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1</a:t>
            </a:r>
            <a:endParaRPr lang="en-US"/>
          </a:p>
        </c:rich>
      </c:tx>
      <c:layout>
        <c:manualLayout>
          <c:xMode val="edge"/>
          <c:yMode val="edge"/>
          <c:x val="0.403812335958005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Pre-asprin1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'Donor1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 AY21'!$B$2:$B$18</c:f>
              <c:numCache>
                <c:formatCode>0.00000</c:formatCode>
                <c:ptCount val="17"/>
                <c:pt idx="0">
                  <c:v>4.973E-3</c:v>
                </c:pt>
                <c:pt idx="1">
                  <c:v>5.9020000000000001E-3</c:v>
                </c:pt>
                <c:pt idx="2">
                  <c:v>7.8359999999999992E-3</c:v>
                </c:pt>
                <c:pt idx="3">
                  <c:v>9.9986999999999993E-3</c:v>
                </c:pt>
                <c:pt idx="4">
                  <c:v>1.4E-2</c:v>
                </c:pt>
                <c:pt idx="5">
                  <c:v>1.77E-2</c:v>
                </c:pt>
                <c:pt idx="6">
                  <c:v>2.6499999999999999E-2</c:v>
                </c:pt>
                <c:pt idx="7">
                  <c:v>3.7900000000000003E-2</c:v>
                </c:pt>
                <c:pt idx="8">
                  <c:v>5.8900000000000001E-2</c:v>
                </c:pt>
                <c:pt idx="9">
                  <c:v>7.2700000000000001E-2</c:v>
                </c:pt>
                <c:pt idx="10">
                  <c:v>0.11899999999999999</c:v>
                </c:pt>
                <c:pt idx="11">
                  <c:v>0.18149999999999999</c:v>
                </c:pt>
                <c:pt idx="12">
                  <c:v>0.31040000000000001</c:v>
                </c:pt>
                <c:pt idx="13">
                  <c:v>0.41449999999999998</c:v>
                </c:pt>
                <c:pt idx="14">
                  <c:v>0.74980000000000002</c:v>
                </c:pt>
                <c:pt idx="15">
                  <c:v>1.2528999999999999</c:v>
                </c:pt>
                <c:pt idx="16">
                  <c:v>2.6949999999999998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E-429E-ABA1-FF4ED708274B}"/>
            </c:ext>
          </c:extLst>
        </c:ser>
        <c:ser>
          <c:idx val="1"/>
          <c:order val="1"/>
          <c:tx>
            <c:v>post aspirin1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'Donor1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 AY21'!$C$2:$C$18</c:f>
              <c:numCache>
                <c:formatCode>0.00000</c:formatCode>
                <c:ptCount val="17"/>
                <c:pt idx="0">
                  <c:v>4.0299999999999997E-3</c:v>
                </c:pt>
                <c:pt idx="1">
                  <c:v>5.202E-3</c:v>
                </c:pt>
                <c:pt idx="2">
                  <c:v>6.7799999999999996E-3</c:v>
                </c:pt>
                <c:pt idx="3">
                  <c:v>8.8900000000000003E-3</c:v>
                </c:pt>
                <c:pt idx="4">
                  <c:v>1.24E-2</c:v>
                </c:pt>
                <c:pt idx="5">
                  <c:v>1.5900000000000001E-2</c:v>
                </c:pt>
                <c:pt idx="6">
                  <c:v>2.4299999999999999E-2</c:v>
                </c:pt>
                <c:pt idx="7">
                  <c:v>3.44E-2</c:v>
                </c:pt>
                <c:pt idx="8">
                  <c:v>5.2999999999999999E-2</c:v>
                </c:pt>
                <c:pt idx="9">
                  <c:v>6.7299999999999999E-2</c:v>
                </c:pt>
                <c:pt idx="10">
                  <c:v>0.113</c:v>
                </c:pt>
                <c:pt idx="11">
                  <c:v>0.17299999999999999</c:v>
                </c:pt>
                <c:pt idx="12">
                  <c:v>0.29699999999999999</c:v>
                </c:pt>
                <c:pt idx="13">
                  <c:v>0.39700000000000002</c:v>
                </c:pt>
                <c:pt idx="14">
                  <c:v>0.71399999999999997</c:v>
                </c:pt>
                <c:pt idx="15">
                  <c:v>1.216</c:v>
                </c:pt>
                <c:pt idx="16">
                  <c:v>2.6269999999999998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1E-429E-ABA1-FF4ED7082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476368"/>
        <c:axId val="449478664"/>
      </c:scatterChart>
      <c:valAx>
        <c:axId val="4494763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8664"/>
        <c:crosses val="autoZero"/>
        <c:crossBetween val="midCat"/>
      </c:valAx>
      <c:valAx>
        <c:axId val="449478664"/>
        <c:scaling>
          <c:logBase val="10"/>
          <c:orientation val="minMax"/>
          <c:max val="4"/>
          <c:min val="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20-Feb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'Donor2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'Donor2 AY21'!#REF!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92-404D-9353-6C701CA2D6DC}"/>
            </c:ext>
          </c:extLst>
        </c:ser>
        <c:ser>
          <c:idx val="1"/>
          <c:order val="1"/>
          <c:tx>
            <c:v>20-Jul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'Donor2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'Donor2 AY21'!$B$2:$B$18</c:f>
              <c:numCache>
                <c:formatCode>General</c:formatCode>
                <c:ptCount val="17"/>
                <c:pt idx="0">
                  <c:v>6.1029999999999999E-3</c:v>
                </c:pt>
                <c:pt idx="1">
                  <c:v>7.8899999999999994E-3</c:v>
                </c:pt>
                <c:pt idx="2">
                  <c:v>8.6E-3</c:v>
                </c:pt>
                <c:pt idx="3">
                  <c:v>1.21E-2</c:v>
                </c:pt>
                <c:pt idx="4">
                  <c:v>1.6500000000000001E-2</c:v>
                </c:pt>
                <c:pt idx="5">
                  <c:v>2.0299999999999999E-2</c:v>
                </c:pt>
                <c:pt idx="6">
                  <c:v>3.15E-2</c:v>
                </c:pt>
                <c:pt idx="7">
                  <c:v>4.1399999999999999E-2</c:v>
                </c:pt>
                <c:pt idx="8">
                  <c:v>6.4600000000000005E-2</c:v>
                </c:pt>
                <c:pt idx="9">
                  <c:v>8.1199999999999994E-2</c:v>
                </c:pt>
                <c:pt idx="10">
                  <c:v>0.13100000000000001</c:v>
                </c:pt>
                <c:pt idx="11">
                  <c:v>0.19700000000000001</c:v>
                </c:pt>
                <c:pt idx="12">
                  <c:v>0.33300000000000002</c:v>
                </c:pt>
                <c:pt idx="13">
                  <c:v>0.45050000000000001</c:v>
                </c:pt>
                <c:pt idx="14">
                  <c:v>0.81599999999999995</c:v>
                </c:pt>
                <c:pt idx="15">
                  <c:v>1.39</c:v>
                </c:pt>
                <c:pt idx="16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92-404D-9353-6C701CA2D6DC}"/>
            </c:ext>
          </c:extLst>
        </c:ser>
        <c:ser>
          <c:idx val="2"/>
          <c:order val="2"/>
          <c:tx>
            <c:v>22-Jul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'Donor2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'Donor2 AY21'!$C$2:$C$18</c:f>
              <c:numCache>
                <c:formatCode>General</c:formatCode>
                <c:ptCount val="17"/>
                <c:pt idx="0">
                  <c:v>5.4299999999999999E-3</c:v>
                </c:pt>
                <c:pt idx="1">
                  <c:v>7.45E-3</c:v>
                </c:pt>
                <c:pt idx="2">
                  <c:v>1.09E-2</c:v>
                </c:pt>
                <c:pt idx="3">
                  <c:v>1.1900000000000001E-2</c:v>
                </c:pt>
                <c:pt idx="4">
                  <c:v>1.7399999999999999E-2</c:v>
                </c:pt>
                <c:pt idx="5">
                  <c:v>2.0899999999999998E-2</c:v>
                </c:pt>
                <c:pt idx="6">
                  <c:v>3.0599999999999999E-2</c:v>
                </c:pt>
                <c:pt idx="7">
                  <c:v>4.0899999999999999E-2</c:v>
                </c:pt>
                <c:pt idx="8">
                  <c:v>6.4500000000000002E-2</c:v>
                </c:pt>
                <c:pt idx="9">
                  <c:v>8.1699999999999995E-2</c:v>
                </c:pt>
                <c:pt idx="10">
                  <c:v>0.13200000000000001</c:v>
                </c:pt>
                <c:pt idx="11">
                  <c:v>0.19900000000000001</c:v>
                </c:pt>
                <c:pt idx="12">
                  <c:v>0.33900000000000002</c:v>
                </c:pt>
                <c:pt idx="13">
                  <c:v>0.45290000000000002</c:v>
                </c:pt>
                <c:pt idx="14">
                  <c:v>0.81599999999999995</c:v>
                </c:pt>
                <c:pt idx="15">
                  <c:v>1.36</c:v>
                </c:pt>
                <c:pt idx="16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2-4830-8460-529ACB2E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964176"/>
        <c:axId val="480960896"/>
      </c:scatterChart>
      <c:valAx>
        <c:axId val="48096417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60896"/>
        <c:crosses val="autoZero"/>
        <c:crossBetween val="midCat"/>
      </c:valAx>
      <c:valAx>
        <c:axId val="4809608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6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Donor3 PreAspirin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'Donor3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'Donor3 AY21'!$B$2:$B$18</c:f>
              <c:numCache>
                <c:formatCode>General</c:formatCode>
                <c:ptCount val="17"/>
                <c:pt idx="0">
                  <c:v>5.2900000000000004E-3</c:v>
                </c:pt>
                <c:pt idx="1">
                  <c:v>6.77E-3</c:v>
                </c:pt>
                <c:pt idx="2">
                  <c:v>8.9499999999999996E-3</c:v>
                </c:pt>
                <c:pt idx="3">
                  <c:v>1.1480000000000001E-2</c:v>
                </c:pt>
                <c:pt idx="4">
                  <c:v>1.66E-2</c:v>
                </c:pt>
                <c:pt idx="5">
                  <c:v>2.0500000000000001E-2</c:v>
                </c:pt>
                <c:pt idx="6">
                  <c:v>3.0200000000000001E-2</c:v>
                </c:pt>
                <c:pt idx="7">
                  <c:v>4.1300000000000003E-2</c:v>
                </c:pt>
                <c:pt idx="8">
                  <c:v>6.3399999999999998E-2</c:v>
                </c:pt>
                <c:pt idx="9">
                  <c:v>7.9769999999999994E-2</c:v>
                </c:pt>
                <c:pt idx="10">
                  <c:v>0.1318</c:v>
                </c:pt>
                <c:pt idx="11">
                  <c:v>0.1986</c:v>
                </c:pt>
                <c:pt idx="12">
                  <c:v>0.34050000000000002</c:v>
                </c:pt>
                <c:pt idx="13">
                  <c:v>0.4546</c:v>
                </c:pt>
                <c:pt idx="14">
                  <c:v>0.82540000000000002</c:v>
                </c:pt>
                <c:pt idx="15">
                  <c:v>1.37</c:v>
                </c:pt>
                <c:pt idx="16">
                  <c:v>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7-4AF1-A7DC-9949608509AC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'Donor3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'Donor3 AY21'!$C$2:$C$18</c:f>
              <c:numCache>
                <c:formatCode>General</c:formatCode>
                <c:ptCount val="17"/>
                <c:pt idx="0">
                  <c:v>5.2599999999999999E-3</c:v>
                </c:pt>
                <c:pt idx="1">
                  <c:v>7.3899999999999999E-3</c:v>
                </c:pt>
                <c:pt idx="2">
                  <c:v>9.7999999999999997E-3</c:v>
                </c:pt>
                <c:pt idx="3">
                  <c:v>1.1979999999999999E-2</c:v>
                </c:pt>
                <c:pt idx="4">
                  <c:v>1.7100000000000001E-2</c:v>
                </c:pt>
                <c:pt idx="5">
                  <c:v>2.1000000000000001E-2</c:v>
                </c:pt>
                <c:pt idx="6">
                  <c:v>3.04E-2</c:v>
                </c:pt>
                <c:pt idx="7">
                  <c:v>4.2000000000000003E-2</c:v>
                </c:pt>
                <c:pt idx="8">
                  <c:v>6.1400000000000003E-2</c:v>
                </c:pt>
                <c:pt idx="9">
                  <c:v>7.8399999999999997E-2</c:v>
                </c:pt>
                <c:pt idx="10">
                  <c:v>0.127</c:v>
                </c:pt>
                <c:pt idx="11">
                  <c:v>0.19400000000000001</c:v>
                </c:pt>
                <c:pt idx="12">
                  <c:v>0.33289999999999997</c:v>
                </c:pt>
                <c:pt idx="13">
                  <c:v>0.44400000000000001</c:v>
                </c:pt>
                <c:pt idx="14">
                  <c:v>0.81599999999999995</c:v>
                </c:pt>
                <c:pt idx="15">
                  <c:v>1.3660000000000001</c:v>
                </c:pt>
                <c:pt idx="16">
                  <c:v>2.76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2-4F60-B24B-A4E7EDBA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74336"/>
        <c:axId val="595975648"/>
      </c:scatterChart>
      <c:valAx>
        <c:axId val="595974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5648"/>
        <c:crosses val="autoZero"/>
        <c:crossBetween val="midCat"/>
      </c:valAx>
      <c:valAx>
        <c:axId val="595975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63779527559054E-2"/>
          <c:y val="5.0925925925925923E-2"/>
          <c:w val="0.79140288713910756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v>pre-aspirin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'Donor4 AY21'!$A$2:$A$17</c:f>
              <c:numCache>
                <c:formatCode>General</c:formatCode>
                <c:ptCount val="16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</c:numCache>
            </c:numRef>
          </c:xVal>
          <c:yVal>
            <c:numRef>
              <c:f>'Donor4 AY21'!$B$2:$B$18</c:f>
              <c:numCache>
                <c:formatCode>General</c:formatCode>
                <c:ptCount val="17"/>
                <c:pt idx="0">
                  <c:v>6.4400000000000004E-3</c:v>
                </c:pt>
                <c:pt idx="1">
                  <c:v>9.4699999999999993E-3</c:v>
                </c:pt>
                <c:pt idx="2">
                  <c:v>1.38E-2</c:v>
                </c:pt>
                <c:pt idx="3">
                  <c:v>1.55E-2</c:v>
                </c:pt>
                <c:pt idx="4">
                  <c:v>2.1250000000000002E-2</c:v>
                </c:pt>
                <c:pt idx="5">
                  <c:v>2.7799999999999998E-2</c:v>
                </c:pt>
                <c:pt idx="6">
                  <c:v>3.9143999999999998E-2</c:v>
                </c:pt>
                <c:pt idx="7">
                  <c:v>5.1700000000000003E-2</c:v>
                </c:pt>
                <c:pt idx="8">
                  <c:v>7.5899999999999995E-2</c:v>
                </c:pt>
                <c:pt idx="9">
                  <c:v>9.4799999999999995E-2</c:v>
                </c:pt>
                <c:pt idx="10">
                  <c:v>0.15</c:v>
                </c:pt>
                <c:pt idx="11">
                  <c:v>0.22366</c:v>
                </c:pt>
                <c:pt idx="12">
                  <c:v>0.376</c:v>
                </c:pt>
                <c:pt idx="13">
                  <c:v>0.504</c:v>
                </c:pt>
                <c:pt idx="14">
                  <c:v>0.92500000000000004</c:v>
                </c:pt>
                <c:pt idx="15">
                  <c:v>1.54</c:v>
                </c:pt>
                <c:pt idx="16">
                  <c:v>3.0219999999999998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2D-40CA-B4E2-763BA2A179A2}"/>
            </c:ext>
          </c:extLst>
        </c:ser>
        <c:ser>
          <c:idx val="1"/>
          <c:order val="1"/>
          <c:tx>
            <c:v>post-aspirin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'Donor4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'Donor4 AY21'!$C$2:$C$18</c:f>
              <c:numCache>
                <c:formatCode>General</c:formatCode>
                <c:ptCount val="17"/>
                <c:pt idx="0">
                  <c:v>6.3E-3</c:v>
                </c:pt>
                <c:pt idx="1">
                  <c:v>8.5000000000000006E-3</c:v>
                </c:pt>
                <c:pt idx="2">
                  <c:v>1.2E-2</c:v>
                </c:pt>
                <c:pt idx="3">
                  <c:v>1.46E-2</c:v>
                </c:pt>
                <c:pt idx="4">
                  <c:v>2.06E-2</c:v>
                </c:pt>
                <c:pt idx="5">
                  <c:v>2.5999999999999999E-2</c:v>
                </c:pt>
                <c:pt idx="6">
                  <c:v>3.6200000000000003E-2</c:v>
                </c:pt>
                <c:pt idx="7">
                  <c:v>5.0500000000000003E-2</c:v>
                </c:pt>
                <c:pt idx="8">
                  <c:v>7.0999999999999994E-2</c:v>
                </c:pt>
                <c:pt idx="9">
                  <c:v>8.7999999999999995E-2</c:v>
                </c:pt>
                <c:pt idx="10">
                  <c:v>0.14000000000000001</c:v>
                </c:pt>
                <c:pt idx="11">
                  <c:v>0.20899999999999999</c:v>
                </c:pt>
                <c:pt idx="12">
                  <c:v>0.35399999999999998</c:v>
                </c:pt>
                <c:pt idx="13">
                  <c:v>0.47099999999999997</c:v>
                </c:pt>
                <c:pt idx="14">
                  <c:v>0.86199999999999999</c:v>
                </c:pt>
                <c:pt idx="15">
                  <c:v>1.44</c:v>
                </c:pt>
                <c:pt idx="16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2D-40CA-B4E2-763BA2A1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66032"/>
        <c:axId val="470366688"/>
      </c:scatterChart>
      <c:valAx>
        <c:axId val="4703660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66688"/>
        <c:crosses val="autoZero"/>
        <c:crossBetween val="midCat"/>
      </c:valAx>
      <c:valAx>
        <c:axId val="4703666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68985126859142"/>
          <c:y val="0.40798556430446192"/>
          <c:w val="0.1543101487314085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'Donor5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'Donor5 AY21'!$B$2:$B$18</c:f>
              <c:numCache>
                <c:formatCode>General</c:formatCode>
                <c:ptCount val="17"/>
                <c:pt idx="0">
                  <c:v>5.6499999999999996E-3</c:v>
                </c:pt>
                <c:pt idx="1">
                  <c:v>8.3000000000000001E-3</c:v>
                </c:pt>
                <c:pt idx="2">
                  <c:v>1.0800000000000001E-2</c:v>
                </c:pt>
                <c:pt idx="3">
                  <c:v>1.3599999999999999E-2</c:v>
                </c:pt>
                <c:pt idx="4">
                  <c:v>1.9199999999999998E-2</c:v>
                </c:pt>
                <c:pt idx="5">
                  <c:v>2.2599999999999999E-2</c:v>
                </c:pt>
                <c:pt idx="6">
                  <c:v>3.39E-2</c:v>
                </c:pt>
                <c:pt idx="7">
                  <c:v>4.5900000000000003E-2</c:v>
                </c:pt>
                <c:pt idx="8">
                  <c:v>6.7699999999999996E-2</c:v>
                </c:pt>
                <c:pt idx="9">
                  <c:v>8.5599999999999996E-2</c:v>
                </c:pt>
                <c:pt idx="10">
                  <c:v>0.13800000000000001</c:v>
                </c:pt>
                <c:pt idx="11">
                  <c:v>0.20699999999999999</c:v>
                </c:pt>
                <c:pt idx="12">
                  <c:v>0.35099999999999998</c:v>
                </c:pt>
                <c:pt idx="13">
                  <c:v>0.46800000000000003</c:v>
                </c:pt>
                <c:pt idx="14">
                  <c:v>0.84799999999999998</c:v>
                </c:pt>
                <c:pt idx="15">
                  <c:v>1.427</c:v>
                </c:pt>
                <c:pt idx="16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F-4E25-888D-1EBCFBAC3F24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'Donor5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'Donor5 AY21'!$C$2:$C$18</c:f>
              <c:numCache>
                <c:formatCode>General</c:formatCode>
                <c:ptCount val="17"/>
                <c:pt idx="0">
                  <c:v>7.8100000000000001E-3</c:v>
                </c:pt>
                <c:pt idx="1">
                  <c:v>8.4700000000000001E-3</c:v>
                </c:pt>
                <c:pt idx="2">
                  <c:v>1.26E-2</c:v>
                </c:pt>
                <c:pt idx="3">
                  <c:v>1.46E-2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3.7900000000000003E-2</c:v>
                </c:pt>
                <c:pt idx="7">
                  <c:v>5.33E-2</c:v>
                </c:pt>
                <c:pt idx="8">
                  <c:v>7.4899999999999994E-2</c:v>
                </c:pt>
                <c:pt idx="9">
                  <c:v>9.5600000000000004E-2</c:v>
                </c:pt>
                <c:pt idx="10">
                  <c:v>0.152</c:v>
                </c:pt>
                <c:pt idx="11">
                  <c:v>0.22800000000000001</c:v>
                </c:pt>
                <c:pt idx="12">
                  <c:v>0.38100000000000001</c:v>
                </c:pt>
                <c:pt idx="13">
                  <c:v>0.51200000000000001</c:v>
                </c:pt>
                <c:pt idx="14">
                  <c:v>0.92800000000000005</c:v>
                </c:pt>
                <c:pt idx="15">
                  <c:v>1.54</c:v>
                </c:pt>
                <c:pt idx="16">
                  <c:v>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12-4046-9E92-1C014C8F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25896"/>
        <c:axId val="470631144"/>
      </c:scatterChart>
      <c:valAx>
        <c:axId val="4706258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31144"/>
        <c:crosses val="autoZero"/>
        <c:crossBetween val="midCat"/>
      </c:valAx>
      <c:valAx>
        <c:axId val="470631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25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'Donor6 AY21'!$A$21:$A$37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'Donor6 AY21'!$B$2:$B$18</c:f>
              <c:numCache>
                <c:formatCode>General</c:formatCode>
                <c:ptCount val="17"/>
                <c:pt idx="0">
                  <c:v>5.7219999999999997E-3</c:v>
                </c:pt>
                <c:pt idx="1">
                  <c:v>6.7200000000000003E-3</c:v>
                </c:pt>
                <c:pt idx="2">
                  <c:v>9.1000000000000004E-3</c:v>
                </c:pt>
                <c:pt idx="3">
                  <c:v>1.1599999999999999E-2</c:v>
                </c:pt>
                <c:pt idx="4">
                  <c:v>1.6400000000000001E-2</c:v>
                </c:pt>
                <c:pt idx="5">
                  <c:v>1.9879999999999998E-2</c:v>
                </c:pt>
                <c:pt idx="6">
                  <c:v>2.93E-2</c:v>
                </c:pt>
                <c:pt idx="7">
                  <c:v>4.0899999999999999E-2</c:v>
                </c:pt>
                <c:pt idx="8">
                  <c:v>5.8900000000000001E-2</c:v>
                </c:pt>
                <c:pt idx="9">
                  <c:v>7.46E-2</c:v>
                </c:pt>
                <c:pt idx="10">
                  <c:v>0.12039999999999999</c:v>
                </c:pt>
                <c:pt idx="11">
                  <c:v>0.1804</c:v>
                </c:pt>
                <c:pt idx="12">
                  <c:v>0.30590000000000001</c:v>
                </c:pt>
                <c:pt idx="13">
                  <c:v>0.40970000000000001</c:v>
                </c:pt>
                <c:pt idx="14">
                  <c:v>0.752</c:v>
                </c:pt>
                <c:pt idx="15">
                  <c:v>1.2569999999999999</c:v>
                </c:pt>
                <c:pt idx="16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C9-4DAC-9D6E-0598F2F32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81808"/>
        <c:axId val="482884104"/>
      </c:scatterChart>
      <c:valAx>
        <c:axId val="4828818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84104"/>
        <c:crosses val="autoZero"/>
        <c:crossBetween val="midCat"/>
      </c:valAx>
      <c:valAx>
        <c:axId val="4828841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8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'Donor7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'Donor7 AY21'!$B$2:$B$18</c:f>
              <c:numCache>
                <c:formatCode>General</c:formatCode>
                <c:ptCount val="17"/>
                <c:pt idx="0">
                  <c:v>6.8490000000000001E-3</c:v>
                </c:pt>
                <c:pt idx="1">
                  <c:v>7.8700000000000003E-3</c:v>
                </c:pt>
                <c:pt idx="2">
                  <c:v>9.5899999999999996E-3</c:v>
                </c:pt>
                <c:pt idx="3">
                  <c:v>1.29E-2</c:v>
                </c:pt>
                <c:pt idx="4">
                  <c:v>1.8249999999999999E-2</c:v>
                </c:pt>
                <c:pt idx="5">
                  <c:v>2.2460000000000001E-2</c:v>
                </c:pt>
                <c:pt idx="6">
                  <c:v>3.4500000000000003E-2</c:v>
                </c:pt>
                <c:pt idx="7">
                  <c:v>4.7399999999999998E-2</c:v>
                </c:pt>
                <c:pt idx="8">
                  <c:v>7.2700000000000001E-2</c:v>
                </c:pt>
                <c:pt idx="9">
                  <c:v>9.0359999999999996E-2</c:v>
                </c:pt>
                <c:pt idx="10">
                  <c:v>0.14499999999999999</c:v>
                </c:pt>
                <c:pt idx="11">
                  <c:v>0.218</c:v>
                </c:pt>
                <c:pt idx="12">
                  <c:v>0.36799999999999999</c:v>
                </c:pt>
                <c:pt idx="13">
                  <c:v>0.48759999999999998</c:v>
                </c:pt>
                <c:pt idx="14">
                  <c:v>0.87</c:v>
                </c:pt>
                <c:pt idx="15">
                  <c:v>1.42</c:v>
                </c:pt>
                <c:pt idx="16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C-407A-A272-1EDFC4970E8A}"/>
            </c:ext>
          </c:extLst>
        </c:ser>
        <c:ser>
          <c:idx val="1"/>
          <c:order val="1"/>
          <c:tx>
            <c:v>postaspirin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'Donor7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'Donor7 AY21'!$C$2:$C$18</c:f>
              <c:numCache>
                <c:formatCode>General</c:formatCode>
                <c:ptCount val="17"/>
                <c:pt idx="0">
                  <c:v>5.1799999999999997E-3</c:v>
                </c:pt>
                <c:pt idx="1">
                  <c:v>6.5399999999999998E-3</c:v>
                </c:pt>
                <c:pt idx="2">
                  <c:v>8.4100000000000008E-3</c:v>
                </c:pt>
                <c:pt idx="3">
                  <c:v>1.0999999999999999E-2</c:v>
                </c:pt>
                <c:pt idx="4">
                  <c:v>1.5699999999999999E-2</c:v>
                </c:pt>
                <c:pt idx="5">
                  <c:v>1.9199999999999998E-2</c:v>
                </c:pt>
                <c:pt idx="6">
                  <c:v>2.9499999999999998E-2</c:v>
                </c:pt>
                <c:pt idx="7">
                  <c:v>3.9899999999999998E-2</c:v>
                </c:pt>
                <c:pt idx="8">
                  <c:v>6.13E-2</c:v>
                </c:pt>
                <c:pt idx="9">
                  <c:v>7.7600000000000002E-2</c:v>
                </c:pt>
                <c:pt idx="10">
                  <c:v>0.126</c:v>
                </c:pt>
                <c:pt idx="11">
                  <c:v>0.191</c:v>
                </c:pt>
                <c:pt idx="12">
                  <c:v>0.32500000000000001</c:v>
                </c:pt>
                <c:pt idx="13">
                  <c:v>0.434</c:v>
                </c:pt>
                <c:pt idx="14">
                  <c:v>0.78300000000000003</c:v>
                </c:pt>
                <c:pt idx="15">
                  <c:v>1.3</c:v>
                </c:pt>
                <c:pt idx="16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34-44FE-9ADE-BE6B1D84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201480"/>
        <c:axId val="476201808"/>
      </c:scatterChart>
      <c:valAx>
        <c:axId val="476201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12755905511811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01808"/>
        <c:crosses val="autoZero"/>
        <c:crossBetween val="midCat"/>
      </c:valAx>
      <c:valAx>
        <c:axId val="476201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01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63779527559054E-2"/>
          <c:y val="0.15277777777777779"/>
          <c:w val="0.76763722507036847"/>
          <c:h val="0.76851851851851849"/>
        </c:manualLayout>
      </c:layout>
      <c:scatterChart>
        <c:scatterStyle val="lineMarker"/>
        <c:varyColors val="0"/>
        <c:ser>
          <c:idx val="1"/>
          <c:order val="0"/>
          <c:tx>
            <c:v>pre-aspirin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'Donor8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'Donor8 AY21'!$B$2:$B$18</c:f>
              <c:numCache>
                <c:formatCode>General</c:formatCode>
                <c:ptCount val="17"/>
                <c:pt idx="0">
                  <c:v>5.5399999999999998E-3</c:v>
                </c:pt>
                <c:pt idx="1">
                  <c:v>7.5399999999999998E-3</c:v>
                </c:pt>
                <c:pt idx="2">
                  <c:v>1.01E-2</c:v>
                </c:pt>
                <c:pt idx="3">
                  <c:v>1.2800000000000001E-2</c:v>
                </c:pt>
                <c:pt idx="4">
                  <c:v>1.7600000000000001E-2</c:v>
                </c:pt>
                <c:pt idx="5">
                  <c:v>2.1600000000000001E-2</c:v>
                </c:pt>
                <c:pt idx="6">
                  <c:v>3.1600000000000003E-2</c:v>
                </c:pt>
                <c:pt idx="7">
                  <c:v>4.3299999999999998E-2</c:v>
                </c:pt>
                <c:pt idx="8">
                  <c:v>6.3799999999999996E-2</c:v>
                </c:pt>
                <c:pt idx="9">
                  <c:v>8.0399999999999999E-2</c:v>
                </c:pt>
                <c:pt idx="10">
                  <c:v>0.129</c:v>
                </c:pt>
                <c:pt idx="11">
                  <c:v>0.19170000000000001</c:v>
                </c:pt>
                <c:pt idx="12">
                  <c:v>0.32400000000000001</c:v>
                </c:pt>
                <c:pt idx="13">
                  <c:v>0.433</c:v>
                </c:pt>
                <c:pt idx="14">
                  <c:v>0.79469999999999996</c:v>
                </c:pt>
                <c:pt idx="15">
                  <c:v>1.367</c:v>
                </c:pt>
                <c:pt idx="16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9B-40CE-96A4-BD767AD2611F}"/>
            </c:ext>
          </c:extLst>
        </c:ser>
        <c:ser>
          <c:idx val="0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'Donor8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'Donor8 AY21'!$C$2:$C$18</c:f>
              <c:numCache>
                <c:formatCode>General</c:formatCode>
                <c:ptCount val="17"/>
                <c:pt idx="0">
                  <c:v>5.5900000000000004E-3</c:v>
                </c:pt>
                <c:pt idx="1">
                  <c:v>6.8900000000000003E-3</c:v>
                </c:pt>
                <c:pt idx="2">
                  <c:v>8.94E-3</c:v>
                </c:pt>
                <c:pt idx="3">
                  <c:v>1.1599999999999999E-2</c:v>
                </c:pt>
                <c:pt idx="4">
                  <c:v>1.6299999999999999E-2</c:v>
                </c:pt>
                <c:pt idx="5">
                  <c:v>1.9699999999999999E-2</c:v>
                </c:pt>
                <c:pt idx="6">
                  <c:v>2.9000000000000001E-2</c:v>
                </c:pt>
                <c:pt idx="7">
                  <c:v>3.9899999999999998E-2</c:v>
                </c:pt>
                <c:pt idx="8">
                  <c:v>5.9450000000000003E-2</c:v>
                </c:pt>
                <c:pt idx="9">
                  <c:v>7.51E-2</c:v>
                </c:pt>
                <c:pt idx="10">
                  <c:v>0.1208</c:v>
                </c:pt>
                <c:pt idx="11">
                  <c:v>0.18</c:v>
                </c:pt>
                <c:pt idx="12">
                  <c:v>0.30299999999999999</c:v>
                </c:pt>
                <c:pt idx="13">
                  <c:v>0.40300000000000002</c:v>
                </c:pt>
                <c:pt idx="14">
                  <c:v>0.73440000000000005</c:v>
                </c:pt>
                <c:pt idx="15">
                  <c:v>1.2250000000000001</c:v>
                </c:pt>
                <c:pt idx="16">
                  <c:v>2.57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29-47D6-A7FB-59921151E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19344"/>
        <c:axId val="510521392"/>
      </c:scatterChart>
      <c:valAx>
        <c:axId val="5193193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970822397200345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21392"/>
        <c:crosses val="autoZero"/>
        <c:crossBetween val="midCat"/>
      </c:valAx>
      <c:valAx>
        <c:axId val="510521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1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</a:t>
            </a:r>
            <a:r>
              <a:rPr lang="en-US" baseline="0"/>
              <a:t> 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91776027996496E-2"/>
          <c:y val="0.17171296296296296"/>
          <c:w val="0.76020822397200349"/>
          <c:h val="0.70754556722076412"/>
        </c:manualLayout>
      </c:layout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'Donor9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'Donor9 AY21'!$B$2:$B$18</c:f>
              <c:numCache>
                <c:formatCode>General</c:formatCode>
                <c:ptCount val="17"/>
                <c:pt idx="0">
                  <c:v>8.2159999999999993E-3</c:v>
                </c:pt>
                <c:pt idx="1">
                  <c:v>1.189E-2</c:v>
                </c:pt>
                <c:pt idx="2">
                  <c:v>1.6379999999999999E-2</c:v>
                </c:pt>
                <c:pt idx="3">
                  <c:v>1.975E-2</c:v>
                </c:pt>
                <c:pt idx="4">
                  <c:v>2.76E-2</c:v>
                </c:pt>
                <c:pt idx="5">
                  <c:v>3.2300000000000002E-2</c:v>
                </c:pt>
                <c:pt idx="6">
                  <c:v>4.4600000000000001E-2</c:v>
                </c:pt>
                <c:pt idx="7">
                  <c:v>6.0359999999999997E-2</c:v>
                </c:pt>
                <c:pt idx="8">
                  <c:v>8.77E-2</c:v>
                </c:pt>
                <c:pt idx="9">
                  <c:v>0.108</c:v>
                </c:pt>
                <c:pt idx="10">
                  <c:v>0.17169999999999999</c:v>
                </c:pt>
                <c:pt idx="11">
                  <c:v>0.25459999999999999</c:v>
                </c:pt>
                <c:pt idx="12">
                  <c:v>0.42799999999999999</c:v>
                </c:pt>
                <c:pt idx="13">
                  <c:v>0.57240000000000002</c:v>
                </c:pt>
                <c:pt idx="14">
                  <c:v>1.044</c:v>
                </c:pt>
                <c:pt idx="15">
                  <c:v>1.74</c:v>
                </c:pt>
                <c:pt idx="16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0F-4DED-8EF5-AEF18018BD21}"/>
            </c:ext>
          </c:extLst>
        </c:ser>
        <c:ser>
          <c:idx val="1"/>
          <c:order val="1"/>
          <c:tx>
            <c:v>poast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'Donor9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'Donor9 AY21'!$C$2:$C$18</c:f>
              <c:numCache>
                <c:formatCode>General</c:formatCode>
                <c:ptCount val="17"/>
                <c:pt idx="0">
                  <c:v>4.5599999999999998E-3</c:v>
                </c:pt>
                <c:pt idx="1">
                  <c:v>6.9499999999999996E-3</c:v>
                </c:pt>
                <c:pt idx="2">
                  <c:v>9.2599999999999991E-3</c:v>
                </c:pt>
                <c:pt idx="3">
                  <c:v>1.15E-2</c:v>
                </c:pt>
                <c:pt idx="4">
                  <c:v>1.6899999999999998E-2</c:v>
                </c:pt>
                <c:pt idx="5">
                  <c:v>2.1499999999999998E-2</c:v>
                </c:pt>
                <c:pt idx="6">
                  <c:v>3.1199999999999999E-2</c:v>
                </c:pt>
                <c:pt idx="7">
                  <c:v>4.3900000000000002E-2</c:v>
                </c:pt>
                <c:pt idx="8">
                  <c:v>6.6299999999999998E-2</c:v>
                </c:pt>
                <c:pt idx="9">
                  <c:v>8.5110000000000005E-2</c:v>
                </c:pt>
                <c:pt idx="10">
                  <c:v>0.13700000000000001</c:v>
                </c:pt>
                <c:pt idx="11">
                  <c:v>0.2107</c:v>
                </c:pt>
                <c:pt idx="12">
                  <c:v>0.36199999999999999</c:v>
                </c:pt>
                <c:pt idx="13">
                  <c:v>0.4839</c:v>
                </c:pt>
                <c:pt idx="14">
                  <c:v>0.871</c:v>
                </c:pt>
                <c:pt idx="15">
                  <c:v>1.44</c:v>
                </c:pt>
                <c:pt idx="16">
                  <c:v>2.847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05-4BDA-8B14-B4B165D1C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95256"/>
        <c:axId val="514595912"/>
      </c:scatterChart>
      <c:valAx>
        <c:axId val="514595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697222222222225"/>
              <c:y val="0.87925853018372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5912"/>
        <c:crosses val="autoZero"/>
        <c:crossBetween val="midCat"/>
      </c:valAx>
      <c:valAx>
        <c:axId val="5145959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5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528062117235358"/>
          <c:y val="0.51909667541557303"/>
          <c:w val="0.1647193788276465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91776027996496E-2"/>
          <c:y val="0.17171296296296296"/>
          <c:w val="0.69076377952755907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'Donor10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'Donor10 AY21'!$B$2:$B$18</c:f>
              <c:numCache>
                <c:formatCode>General</c:formatCode>
                <c:ptCount val="17"/>
                <c:pt idx="0">
                  <c:v>6.5300000000000002E-3</c:v>
                </c:pt>
                <c:pt idx="1">
                  <c:v>8.4399999999999996E-3</c:v>
                </c:pt>
                <c:pt idx="2">
                  <c:v>9.8600000000000007E-3</c:v>
                </c:pt>
                <c:pt idx="3">
                  <c:v>1.37E-2</c:v>
                </c:pt>
                <c:pt idx="4">
                  <c:v>2.0199999999999999E-2</c:v>
                </c:pt>
                <c:pt idx="5">
                  <c:v>2.3400000000000001E-2</c:v>
                </c:pt>
                <c:pt idx="7">
                  <c:v>5.5300000000000002E-2</c:v>
                </c:pt>
                <c:pt idx="8">
                  <c:v>8.5699999999999998E-2</c:v>
                </c:pt>
                <c:pt idx="9">
                  <c:v>0.114</c:v>
                </c:pt>
                <c:pt idx="10">
                  <c:v>0.17499999999999999</c:v>
                </c:pt>
                <c:pt idx="11">
                  <c:v>0.26400000000000001</c:v>
                </c:pt>
                <c:pt idx="12">
                  <c:v>0.40799999999999997</c:v>
                </c:pt>
                <c:pt idx="13">
                  <c:v>0.53300000000000003</c:v>
                </c:pt>
                <c:pt idx="14">
                  <c:v>0.92800000000000005</c:v>
                </c:pt>
                <c:pt idx="15">
                  <c:v>1.41</c:v>
                </c:pt>
                <c:pt idx="16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D4-430D-8975-3ABD71A5A3E7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'Donor10 AY21'!$A$2:$A$18</c:f>
              <c:numCache>
                <c:formatCode>General</c:formatCode>
                <c:ptCount val="1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'Donor10 AY21'!$C$2:$C$18</c:f>
              <c:numCache>
                <c:formatCode>General</c:formatCode>
                <c:ptCount val="17"/>
                <c:pt idx="0">
                  <c:v>6.9199999999999999E-3</c:v>
                </c:pt>
                <c:pt idx="1">
                  <c:v>8.6199999999999992E-3</c:v>
                </c:pt>
                <c:pt idx="2">
                  <c:v>1.15E-2</c:v>
                </c:pt>
                <c:pt idx="3">
                  <c:v>1.46E-2</c:v>
                </c:pt>
                <c:pt idx="4">
                  <c:v>2.0299999999999999E-2</c:v>
                </c:pt>
                <c:pt idx="5">
                  <c:v>2.4199999999999999E-2</c:v>
                </c:pt>
                <c:pt idx="6">
                  <c:v>3.5299999999999998E-2</c:v>
                </c:pt>
                <c:pt idx="7">
                  <c:v>4.8099999999999997E-2</c:v>
                </c:pt>
                <c:pt idx="8">
                  <c:v>7.17E-2</c:v>
                </c:pt>
                <c:pt idx="9">
                  <c:v>9.0999999999999998E-2</c:v>
                </c:pt>
                <c:pt idx="10">
                  <c:v>0.14499999999999999</c:v>
                </c:pt>
                <c:pt idx="11">
                  <c:v>0.218</c:v>
                </c:pt>
                <c:pt idx="12">
                  <c:v>0.37</c:v>
                </c:pt>
                <c:pt idx="13">
                  <c:v>0.49299999999999999</c:v>
                </c:pt>
                <c:pt idx="14">
                  <c:v>0.89400000000000002</c:v>
                </c:pt>
                <c:pt idx="15">
                  <c:v>1.48</c:v>
                </c:pt>
                <c:pt idx="16">
                  <c:v>2.86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1-47B6-9941-33D65086C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591504"/>
        <c:axId val="569591832"/>
      </c:scatterChart>
      <c:valAx>
        <c:axId val="5695915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1832"/>
        <c:crosses val="autoZero"/>
        <c:crossBetween val="midCat"/>
      </c:valAx>
      <c:valAx>
        <c:axId val="569591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0.35997630504520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528062117235358"/>
          <c:y val="0.50057815689705454"/>
          <c:w val="0.1647193788276465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01399825021872"/>
          <c:y val="0.15319444444444447"/>
          <c:w val="0.70234251968503936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v>pre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'Donor11 AY21'!$A$2:$A$18</c:f>
              <c:numCache>
                <c:formatCode>General</c:formatCode>
                <c:ptCount val="17"/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'Donor11 AY21'!$B$2:$B$18</c:f>
              <c:numCache>
                <c:formatCode>General</c:formatCode>
                <c:ptCount val="17"/>
                <c:pt idx="0">
                  <c:v>5.3600000000000002E-3</c:v>
                </c:pt>
                <c:pt idx="1">
                  <c:v>7.1599999999999997E-3</c:v>
                </c:pt>
                <c:pt idx="2">
                  <c:v>9.3500000000000007E-3</c:v>
                </c:pt>
                <c:pt idx="3">
                  <c:v>1.2800000000000001E-2</c:v>
                </c:pt>
                <c:pt idx="4">
                  <c:v>1.7399999999999999E-2</c:v>
                </c:pt>
                <c:pt idx="5">
                  <c:v>2.0899999999999998E-2</c:v>
                </c:pt>
                <c:pt idx="6">
                  <c:v>3.0499999999999999E-2</c:v>
                </c:pt>
                <c:pt idx="7">
                  <c:v>4.0500000000000001E-2</c:v>
                </c:pt>
                <c:pt idx="8">
                  <c:v>6.2700000000000006E-2</c:v>
                </c:pt>
                <c:pt idx="9">
                  <c:v>7.9000000000000001E-2</c:v>
                </c:pt>
                <c:pt idx="10">
                  <c:v>0.129</c:v>
                </c:pt>
                <c:pt idx="11">
                  <c:v>0.1948</c:v>
                </c:pt>
                <c:pt idx="12">
                  <c:v>0.3322</c:v>
                </c:pt>
                <c:pt idx="13">
                  <c:v>0.44440000000000002</c:v>
                </c:pt>
                <c:pt idx="14">
                  <c:v>0.81100000000000005</c:v>
                </c:pt>
                <c:pt idx="15">
                  <c:v>1.35</c:v>
                </c:pt>
                <c:pt idx="16">
                  <c:v>2.73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9C-4758-815C-F5D9292F85DC}"/>
            </c:ext>
          </c:extLst>
        </c:ser>
        <c:ser>
          <c:idx val="1"/>
          <c:order val="1"/>
          <c:tx>
            <c:v>post aspirin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'Donor11 AY21'!$A$2:$A$18</c:f>
              <c:numCache>
                <c:formatCode>General</c:formatCode>
                <c:ptCount val="17"/>
                <c:pt idx="1">
                  <c:v>0.1</c:v>
                </c:pt>
                <c:pt idx="2">
                  <c:v>0.2</c:v>
                </c:pt>
                <c:pt idx="3">
                  <c:v>0.35</c:v>
                </c:pt>
                <c:pt idx="4">
                  <c:v>0.7</c:v>
                </c:pt>
                <c:pt idx="5">
                  <c:v>1</c:v>
                </c:pt>
                <c:pt idx="6">
                  <c:v>2</c:v>
                </c:pt>
                <c:pt idx="7">
                  <c:v>3.5</c:v>
                </c:pt>
                <c:pt idx="8">
                  <c:v>7</c:v>
                </c:pt>
                <c:pt idx="9">
                  <c:v>10</c:v>
                </c:pt>
                <c:pt idx="10">
                  <c:v>20</c:v>
                </c:pt>
                <c:pt idx="11">
                  <c:v>35</c:v>
                </c:pt>
                <c:pt idx="12">
                  <c:v>70</c:v>
                </c:pt>
                <c:pt idx="13">
                  <c:v>100</c:v>
                </c:pt>
                <c:pt idx="14">
                  <c:v>200</c:v>
                </c:pt>
                <c:pt idx="15">
                  <c:v>350</c:v>
                </c:pt>
                <c:pt idx="16">
                  <c:v>700</c:v>
                </c:pt>
              </c:numCache>
            </c:numRef>
          </c:xVal>
          <c:yVal>
            <c:numRef>
              <c:f>'Donor11 AY21'!$C$2:$C$18</c:f>
              <c:numCache>
                <c:formatCode>General</c:formatCode>
                <c:ptCount val="17"/>
                <c:pt idx="0">
                  <c:v>3.9300000000000003E-3</c:v>
                </c:pt>
                <c:pt idx="1">
                  <c:v>4.9399999999999999E-3</c:v>
                </c:pt>
                <c:pt idx="2">
                  <c:v>6.4599999999999996E-3</c:v>
                </c:pt>
                <c:pt idx="3">
                  <c:v>8.8699999999999994E-3</c:v>
                </c:pt>
                <c:pt idx="4">
                  <c:v>1.2699999999999999E-2</c:v>
                </c:pt>
                <c:pt idx="5">
                  <c:v>1.5699999999999999E-2</c:v>
                </c:pt>
                <c:pt idx="6">
                  <c:v>2.3800000000000002E-2</c:v>
                </c:pt>
                <c:pt idx="7">
                  <c:v>3.32E-2</c:v>
                </c:pt>
                <c:pt idx="8">
                  <c:v>5.1700000000000003E-2</c:v>
                </c:pt>
                <c:pt idx="9">
                  <c:v>6.6199999999999995E-2</c:v>
                </c:pt>
                <c:pt idx="10">
                  <c:v>0.109</c:v>
                </c:pt>
                <c:pt idx="11">
                  <c:v>0.16700000000000001</c:v>
                </c:pt>
                <c:pt idx="12">
                  <c:v>0.28989999999999999</c:v>
                </c:pt>
                <c:pt idx="13">
                  <c:v>0.38900000000000001</c:v>
                </c:pt>
                <c:pt idx="14">
                  <c:v>0.70899999999999996</c:v>
                </c:pt>
                <c:pt idx="15">
                  <c:v>1.18</c:v>
                </c:pt>
                <c:pt idx="16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7C-4B29-8A20-906BD4A88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36168"/>
        <c:axId val="428161128"/>
      </c:scatterChart>
      <c:valAx>
        <c:axId val="4225361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rate (1/s)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61128"/>
        <c:crosses val="autoZero"/>
        <c:crossBetween val="midCat"/>
      </c:valAx>
      <c:valAx>
        <c:axId val="4281611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36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12700</xdr:rowOff>
    </xdr:from>
    <xdr:to>
      <xdr:col>11</xdr:col>
      <xdr:colOff>320675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60511-C17F-4ACE-904E-04BEB206E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158750</xdr:rowOff>
    </xdr:from>
    <xdr:to>
      <xdr:col>12</xdr:col>
      <xdr:colOff>295275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8FEF1-1735-41CE-BF07-12DA3D9DC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161925</xdr:rowOff>
    </xdr:from>
    <xdr:to>
      <xdr:col>12</xdr:col>
      <xdr:colOff>9525</xdr:colOff>
      <xdr:row>15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034A6-494F-4FDA-B5C8-666A0BEA5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168275</xdr:colOff>
      <xdr:row>1</xdr:row>
      <xdr:rowOff>136525</xdr:rowOff>
    </xdr:from>
    <xdr:to>
      <xdr:col>12</xdr:col>
      <xdr:colOff>473075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69676-0A46-4A5C-BD31-72B146A35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2</xdr:row>
      <xdr:rowOff>3175</xdr:rowOff>
    </xdr:from>
    <xdr:to>
      <xdr:col>12</xdr:col>
      <xdr:colOff>549275</xdr:colOff>
      <xdr:row>15</xdr:row>
      <xdr:rowOff>187325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76A88-B2BC-41BD-A598-4916B5C5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339725</xdr:colOff>
      <xdr:row>2</xdr:row>
      <xdr:rowOff>3175</xdr:rowOff>
    </xdr:from>
    <xdr:to>
      <xdr:col>12</xdr:col>
      <xdr:colOff>34925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64871-CDDE-4FEA-ADB2-FDD89423F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2</xdr:row>
      <xdr:rowOff>3175</xdr:rowOff>
    </xdr:from>
    <xdr:to>
      <xdr:col>12</xdr:col>
      <xdr:colOff>200025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C110F-0C4D-4C44-94AF-4144DC065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358774</xdr:colOff>
      <xdr:row>2</xdr:row>
      <xdr:rowOff>3175</xdr:rowOff>
    </xdr:from>
    <xdr:to>
      <xdr:col>12</xdr:col>
      <xdr:colOff>304799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F9CA6-8F6C-4E68-9492-0B5A4E6A0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358775</xdr:colOff>
      <xdr:row>2</xdr:row>
      <xdr:rowOff>3175</xdr:rowOff>
    </xdr:from>
    <xdr:to>
      <xdr:col>12</xdr:col>
      <xdr:colOff>53975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F5735-C298-4CC3-9F94-C9B1891FC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473075</xdr:colOff>
      <xdr:row>0</xdr:row>
      <xdr:rowOff>15875</xdr:rowOff>
    </xdr:from>
    <xdr:to>
      <xdr:col>12</xdr:col>
      <xdr:colOff>168275</xdr:colOff>
      <xdr:row>14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B077B-8553-4E2A-9E20-493B5767A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0</xdr:row>
      <xdr:rowOff>22225</xdr:rowOff>
    </xdr:from>
    <xdr:to>
      <xdr:col>11</xdr:col>
      <xdr:colOff>454025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21A33-3B9F-41B3-9637-0AFF00CEC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757C-3E50-4F2F-9097-2CC7D2AC7B27}">
  <dimension ref="A1:P59"/>
  <sheetViews>
    <sheetView tabSelected="1" workbookViewId="0">
      <selection activeCell="A59" sqref="A59:XFD59"/>
    </sheetView>
  </sheetViews>
  <sheetFormatPr defaultRowHeight="14.5" x14ac:dyDescent="0.35"/>
  <cols>
    <col min="1" max="1" width="10.90625" customWidth="1"/>
    <col min="2" max="2" width="6.6328125" bestFit="1" customWidth="1"/>
    <col min="3" max="3" width="9.81640625" customWidth="1"/>
    <col min="4" max="5" width="9.54296875" bestFit="1" customWidth="1"/>
    <col min="6" max="6" width="10.08984375" bestFit="1" customWidth="1"/>
    <col min="7" max="7" width="11.90625" bestFit="1" customWidth="1"/>
    <col min="8" max="8" width="11" bestFit="1" customWidth="1"/>
    <col min="9" max="9" width="10.08984375" bestFit="1" customWidth="1"/>
    <col min="10" max="10" width="9.08984375" bestFit="1" customWidth="1"/>
    <col min="11" max="12" width="7.08984375" bestFit="1" customWidth="1"/>
    <col min="13" max="13" width="9.54296875" bestFit="1" customWidth="1"/>
  </cols>
  <sheetData>
    <row r="1" spans="1:15" ht="15.5" x14ac:dyDescent="0.35">
      <c r="A1" s="6" t="s">
        <v>3</v>
      </c>
      <c r="B1" s="7" t="s">
        <v>4</v>
      </c>
      <c r="C1" s="7"/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8"/>
      <c r="J1" s="8"/>
      <c r="K1" s="8"/>
      <c r="L1" s="8"/>
      <c r="M1" s="8"/>
    </row>
    <row r="2" spans="1:15" x14ac:dyDescent="0.35">
      <c r="A2" s="176" t="s">
        <v>10</v>
      </c>
      <c r="B2" s="9" t="s">
        <v>11</v>
      </c>
      <c r="C2" s="9" t="s">
        <v>31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176" t="s">
        <v>23</v>
      </c>
    </row>
    <row r="3" spans="1:15" ht="15.5" x14ac:dyDescent="0.35">
      <c r="A3" s="177"/>
      <c r="B3" s="19" t="s">
        <v>24</v>
      </c>
      <c r="C3" s="19" t="s">
        <v>26</v>
      </c>
      <c r="D3" s="19" t="s">
        <v>25</v>
      </c>
      <c r="E3" s="19" t="s">
        <v>25</v>
      </c>
      <c r="F3" s="19" t="s">
        <v>25</v>
      </c>
      <c r="G3" s="19" t="s">
        <v>25</v>
      </c>
      <c r="H3" s="19" t="s">
        <v>26</v>
      </c>
      <c r="I3" s="19" t="s">
        <v>66</v>
      </c>
      <c r="J3" s="19" t="s">
        <v>66</v>
      </c>
      <c r="K3" s="19" t="s">
        <v>35</v>
      </c>
      <c r="L3" s="19" t="s">
        <v>34</v>
      </c>
      <c r="M3" s="19" t="s">
        <v>66</v>
      </c>
      <c r="N3" s="19" t="s">
        <v>66</v>
      </c>
      <c r="O3" s="177"/>
    </row>
    <row r="4" spans="1:15" x14ac:dyDescent="0.35">
      <c r="A4" s="178" t="s">
        <v>29</v>
      </c>
      <c r="B4" s="180">
        <v>0.41599999999999998</v>
      </c>
      <c r="C4" s="196">
        <v>0.224</v>
      </c>
      <c r="D4" s="180">
        <v>153</v>
      </c>
      <c r="E4" s="180">
        <v>71</v>
      </c>
      <c r="F4" s="180">
        <v>42</v>
      </c>
      <c r="G4" s="180">
        <v>106</v>
      </c>
      <c r="H4" s="182">
        <v>105</v>
      </c>
      <c r="I4" s="184">
        <f>G4/F4</f>
        <v>2.5238095238095237</v>
      </c>
      <c r="J4" s="186">
        <f>E4/F4</f>
        <v>1.6904761904761905</v>
      </c>
      <c r="K4" s="188">
        <v>6.03</v>
      </c>
      <c r="L4" s="188">
        <v>4.93</v>
      </c>
      <c r="M4" s="188" t="s">
        <v>27</v>
      </c>
      <c r="N4" s="188" t="s">
        <v>28</v>
      </c>
      <c r="O4" s="188">
        <v>46</v>
      </c>
    </row>
    <row r="5" spans="1:15" x14ac:dyDescent="0.35">
      <c r="A5" s="178"/>
      <c r="B5" s="180"/>
      <c r="C5" s="197"/>
      <c r="D5" s="180"/>
      <c r="E5" s="180"/>
      <c r="F5" s="180"/>
      <c r="G5" s="180"/>
      <c r="H5" s="182"/>
      <c r="I5" s="184"/>
      <c r="J5" s="186"/>
      <c r="K5" s="188"/>
      <c r="L5" s="188"/>
      <c r="M5" s="188"/>
      <c r="N5" s="188"/>
      <c r="O5" s="188"/>
    </row>
    <row r="6" spans="1:15" x14ac:dyDescent="0.35">
      <c r="A6" s="178" t="s">
        <v>30</v>
      </c>
      <c r="B6" s="180">
        <v>0.40100000000000002</v>
      </c>
      <c r="C6" s="196">
        <v>0.255</v>
      </c>
      <c r="D6" s="180">
        <v>142</v>
      </c>
      <c r="E6" s="180">
        <v>38</v>
      </c>
      <c r="F6" s="180">
        <v>41</v>
      </c>
      <c r="G6" s="180">
        <v>98</v>
      </c>
      <c r="H6" s="182">
        <v>89</v>
      </c>
      <c r="I6" s="184">
        <f>G6/F6</f>
        <v>2.3902439024390243</v>
      </c>
      <c r="J6" s="186">
        <f>E6/F6</f>
        <v>0.92682926829268297</v>
      </c>
      <c r="K6" s="188">
        <v>4.37</v>
      </c>
      <c r="L6" s="188">
        <v>4.6900000000000004</v>
      </c>
      <c r="M6" s="188" t="s">
        <v>27</v>
      </c>
      <c r="N6" s="188" t="s">
        <v>28</v>
      </c>
      <c r="O6" s="188">
        <v>46</v>
      </c>
    </row>
    <row r="7" spans="1:15" ht="15" thickBot="1" x14ac:dyDescent="0.4">
      <c r="A7" s="179"/>
      <c r="B7" s="181"/>
      <c r="C7" s="198"/>
      <c r="D7" s="181"/>
      <c r="E7" s="181"/>
      <c r="F7" s="181"/>
      <c r="G7" s="181"/>
      <c r="H7" s="183"/>
      <c r="I7" s="185"/>
      <c r="J7" s="187"/>
      <c r="K7" s="195"/>
      <c r="L7" s="195"/>
      <c r="M7" s="195"/>
      <c r="N7" s="195"/>
      <c r="O7" s="195"/>
    </row>
    <row r="8" spans="1:15" x14ac:dyDescent="0.35">
      <c r="A8" s="68"/>
      <c r="B8" s="54">
        <f>ABS(B4-B6)/B6*100</f>
        <v>3.7406483790523581</v>
      </c>
      <c r="C8" s="71">
        <f t="shared" ref="C8:G8" si="0">ABS(C4-C6)/C6*100</f>
        <v>12.156862745098039</v>
      </c>
      <c r="D8" s="54">
        <f t="shared" si="0"/>
        <v>7.7464788732394361</v>
      </c>
      <c r="E8" s="54">
        <f t="shared" si="0"/>
        <v>86.842105263157904</v>
      </c>
      <c r="F8" s="54">
        <f t="shared" si="0"/>
        <v>2.4390243902439024</v>
      </c>
      <c r="G8" s="54">
        <f t="shared" si="0"/>
        <v>8.1632653061224492</v>
      </c>
      <c r="H8" s="71"/>
      <c r="I8" s="69"/>
      <c r="J8" s="69"/>
      <c r="K8" s="69"/>
      <c r="L8" s="70"/>
    </row>
    <row r="9" spans="1:15" x14ac:dyDescent="0.35">
      <c r="A9" s="174" t="s">
        <v>32</v>
      </c>
      <c r="B9" s="191">
        <v>0.47499999999999998</v>
      </c>
      <c r="C9" s="193">
        <v>0.23100000000000001</v>
      </c>
      <c r="D9" s="191">
        <v>218</v>
      </c>
      <c r="E9" s="191">
        <v>110</v>
      </c>
      <c r="F9" s="191">
        <v>42</v>
      </c>
      <c r="G9" s="191">
        <v>156</v>
      </c>
      <c r="H9" s="202">
        <v>127</v>
      </c>
      <c r="I9" s="199">
        <f>G9/F9</f>
        <v>3.7142857142857144</v>
      </c>
      <c r="J9" s="201">
        <f>E9/F9</f>
        <v>2.6190476190476191</v>
      </c>
      <c r="K9" s="189">
        <v>5.08</v>
      </c>
      <c r="L9" s="189">
        <v>5.31</v>
      </c>
      <c r="M9" s="189" t="s">
        <v>27</v>
      </c>
      <c r="N9" s="189" t="s">
        <v>28</v>
      </c>
      <c r="O9" s="189">
        <v>34</v>
      </c>
    </row>
    <row r="10" spans="1:15" x14ac:dyDescent="0.35">
      <c r="A10" s="174"/>
      <c r="B10" s="191"/>
      <c r="C10" s="200"/>
      <c r="D10" s="191"/>
      <c r="E10" s="191"/>
      <c r="F10" s="191"/>
      <c r="G10" s="191"/>
      <c r="H10" s="202"/>
      <c r="I10" s="199"/>
      <c r="J10" s="201"/>
      <c r="K10" s="189"/>
      <c r="L10" s="189"/>
      <c r="M10" s="189"/>
      <c r="N10" s="189"/>
      <c r="O10" s="189"/>
    </row>
    <row r="11" spans="1:15" x14ac:dyDescent="0.35">
      <c r="A11" s="174" t="s">
        <v>33</v>
      </c>
      <c r="B11" s="191">
        <v>0.45300000000000001</v>
      </c>
      <c r="C11" s="193">
        <v>0.22900000000000001</v>
      </c>
      <c r="D11" s="191">
        <v>225</v>
      </c>
      <c r="E11" s="191">
        <v>111</v>
      </c>
      <c r="F11" s="191">
        <v>43</v>
      </c>
      <c r="G11" s="191">
        <v>157</v>
      </c>
      <c r="H11" s="202">
        <v>106</v>
      </c>
      <c r="I11" s="199">
        <f>G11/F11</f>
        <v>3.6511627906976742</v>
      </c>
      <c r="J11" s="201">
        <f>E11/F11</f>
        <v>2.5813953488372094</v>
      </c>
      <c r="K11" s="189">
        <v>5.51</v>
      </c>
      <c r="L11" s="189">
        <v>5.13</v>
      </c>
      <c r="M11" s="189" t="s">
        <v>27</v>
      </c>
      <c r="N11" s="189" t="s">
        <v>28</v>
      </c>
      <c r="O11" s="189">
        <v>34</v>
      </c>
    </row>
    <row r="12" spans="1:15" ht="15" thickBot="1" x14ac:dyDescent="0.4">
      <c r="A12" s="175"/>
      <c r="B12" s="192"/>
      <c r="C12" s="194"/>
      <c r="D12" s="192"/>
      <c r="E12" s="192"/>
      <c r="F12" s="192"/>
      <c r="G12" s="192"/>
      <c r="H12" s="203"/>
      <c r="I12" s="204"/>
      <c r="J12" s="207"/>
      <c r="K12" s="190"/>
      <c r="L12" s="190"/>
      <c r="M12" s="189"/>
      <c r="N12" s="190"/>
      <c r="O12" s="190"/>
    </row>
    <row r="13" spans="1:15" x14ac:dyDescent="0.35">
      <c r="A13" s="72"/>
      <c r="B13" s="56">
        <f>ABS(B9-B11)/B11*100</f>
        <v>4.8565121412803451</v>
      </c>
      <c r="C13" s="73">
        <f t="shared" ref="C13:G13" si="1">ABS(C9-C11)/C11*100</f>
        <v>0.87336244541484798</v>
      </c>
      <c r="D13" s="56">
        <f t="shared" si="1"/>
        <v>3.1111111111111112</v>
      </c>
      <c r="E13" s="56">
        <f t="shared" si="1"/>
        <v>0.90090090090090091</v>
      </c>
      <c r="F13" s="56">
        <f t="shared" si="1"/>
        <v>2.3255813953488373</v>
      </c>
      <c r="G13" s="56">
        <f t="shared" si="1"/>
        <v>0.63694267515923575</v>
      </c>
      <c r="H13" s="74"/>
      <c r="I13" s="75"/>
      <c r="J13" s="76"/>
      <c r="K13" s="77"/>
      <c r="L13" s="77"/>
      <c r="M13" s="55"/>
      <c r="N13" s="77"/>
      <c r="O13" s="77"/>
    </row>
    <row r="14" spans="1:15" ht="14.5" customHeight="1" x14ac:dyDescent="0.35">
      <c r="A14" s="213" t="s">
        <v>38</v>
      </c>
      <c r="B14" s="206">
        <v>0.45100000000000001</v>
      </c>
      <c r="C14" s="216">
        <v>0.30099999999999999</v>
      </c>
      <c r="D14" s="206">
        <v>171</v>
      </c>
      <c r="E14" s="206">
        <v>104</v>
      </c>
      <c r="F14" s="206">
        <v>47</v>
      </c>
      <c r="G14" s="206">
        <v>107</v>
      </c>
      <c r="H14" s="208">
        <v>102</v>
      </c>
      <c r="I14" s="209">
        <f>G14/F14</f>
        <v>2.2765957446808511</v>
      </c>
      <c r="J14" s="210">
        <f>E14/F14</f>
        <v>2.2127659574468086</v>
      </c>
      <c r="K14" s="205">
        <v>7.18</v>
      </c>
      <c r="L14" s="205">
        <v>5.17</v>
      </c>
      <c r="M14" s="205" t="s">
        <v>40</v>
      </c>
      <c r="N14" s="205" t="s">
        <v>28</v>
      </c>
      <c r="O14" s="205">
        <v>43</v>
      </c>
    </row>
    <row r="15" spans="1:15" ht="14.5" customHeight="1" x14ac:dyDescent="0.35">
      <c r="A15" s="213"/>
      <c r="B15" s="206"/>
      <c r="C15" s="220"/>
      <c r="D15" s="206"/>
      <c r="E15" s="206"/>
      <c r="F15" s="206"/>
      <c r="G15" s="206"/>
      <c r="H15" s="208"/>
      <c r="I15" s="209"/>
      <c r="J15" s="210"/>
      <c r="K15" s="205"/>
      <c r="L15" s="205"/>
      <c r="M15" s="205"/>
      <c r="N15" s="205"/>
      <c r="O15" s="205"/>
    </row>
    <row r="16" spans="1:15" x14ac:dyDescent="0.35">
      <c r="A16" s="213" t="s">
        <v>39</v>
      </c>
      <c r="B16" s="206">
        <v>0.44</v>
      </c>
      <c r="C16" s="216">
        <v>0.27400000000000002</v>
      </c>
      <c r="D16" s="206">
        <v>193</v>
      </c>
      <c r="E16" s="206">
        <v>114</v>
      </c>
      <c r="F16" s="206">
        <v>52</v>
      </c>
      <c r="G16" s="206">
        <v>127</v>
      </c>
      <c r="H16" s="208">
        <v>98</v>
      </c>
      <c r="I16" s="209">
        <f>G16/F16</f>
        <v>2.4423076923076925</v>
      </c>
      <c r="J16" s="210">
        <f>E16/F16</f>
        <v>2.1923076923076925</v>
      </c>
      <c r="K16" s="205">
        <v>8.1</v>
      </c>
      <c r="L16" s="205">
        <v>4.97</v>
      </c>
      <c r="M16" s="205" t="s">
        <v>40</v>
      </c>
      <c r="N16" s="205" t="s">
        <v>28</v>
      </c>
      <c r="O16" s="205">
        <v>43</v>
      </c>
    </row>
    <row r="17" spans="1:15" ht="15" thickBot="1" x14ac:dyDescent="0.4">
      <c r="A17" s="214"/>
      <c r="B17" s="215"/>
      <c r="C17" s="217"/>
      <c r="D17" s="215"/>
      <c r="E17" s="215"/>
      <c r="F17" s="215"/>
      <c r="G17" s="215"/>
      <c r="H17" s="218"/>
      <c r="I17" s="219"/>
      <c r="J17" s="211"/>
      <c r="K17" s="212"/>
      <c r="L17" s="212"/>
      <c r="M17" s="205"/>
      <c r="N17" s="212"/>
      <c r="O17" s="205"/>
    </row>
    <row r="18" spans="1:15" x14ac:dyDescent="0.35">
      <c r="A18" s="78"/>
      <c r="B18" s="58">
        <f>ABS(B14-B16)/B16*100</f>
        <v>2.5000000000000022</v>
      </c>
      <c r="C18" s="84">
        <f t="shared" ref="C18:G18" si="2">ABS(C14-C16)/C16*100</f>
        <v>9.8540145985401342</v>
      </c>
      <c r="D18" s="83">
        <f t="shared" si="2"/>
        <v>11.398963730569948</v>
      </c>
      <c r="E18" s="58">
        <f t="shared" si="2"/>
        <v>8.7719298245614024</v>
      </c>
      <c r="F18" s="58">
        <f t="shared" si="2"/>
        <v>9.6153846153846168</v>
      </c>
      <c r="G18" s="83">
        <f t="shared" si="2"/>
        <v>15.748031496062993</v>
      </c>
      <c r="H18" s="79"/>
      <c r="I18" s="80"/>
      <c r="J18" s="81"/>
      <c r="K18" s="82"/>
      <c r="L18" s="82"/>
      <c r="M18" s="57"/>
      <c r="N18" s="82"/>
      <c r="O18" s="57"/>
    </row>
    <row r="19" spans="1:15" x14ac:dyDescent="0.35">
      <c r="A19" s="160" t="s">
        <v>41</v>
      </c>
      <c r="B19" s="161">
        <v>0.47099999999999997</v>
      </c>
      <c r="C19" s="163" t="s">
        <v>43</v>
      </c>
      <c r="D19" s="161">
        <v>178</v>
      </c>
      <c r="E19" s="161">
        <v>66</v>
      </c>
      <c r="F19" s="161">
        <v>51</v>
      </c>
      <c r="G19" s="161">
        <v>115</v>
      </c>
      <c r="H19" s="165">
        <v>90</v>
      </c>
      <c r="I19" s="166">
        <f>G19/F19</f>
        <v>2.2549019607843137</v>
      </c>
      <c r="J19" s="162">
        <f>E19/F19</f>
        <v>1.2941176470588236</v>
      </c>
      <c r="K19" s="221">
        <v>5.74</v>
      </c>
      <c r="L19" s="221">
        <v>5.3</v>
      </c>
      <c r="M19" s="221" t="s">
        <v>27</v>
      </c>
      <c r="N19" s="221" t="s">
        <v>28</v>
      </c>
      <c r="O19" s="221">
        <v>36</v>
      </c>
    </row>
    <row r="20" spans="1:15" x14ac:dyDescent="0.35">
      <c r="A20" s="160"/>
      <c r="B20" s="161"/>
      <c r="C20" s="164"/>
      <c r="D20" s="161"/>
      <c r="E20" s="161"/>
      <c r="F20" s="161"/>
      <c r="G20" s="161"/>
      <c r="H20" s="165"/>
      <c r="I20" s="166"/>
      <c r="J20" s="162"/>
      <c r="K20" s="221"/>
      <c r="L20" s="221"/>
      <c r="M20" s="221"/>
      <c r="N20" s="221"/>
      <c r="O20" s="221"/>
    </row>
    <row r="21" spans="1:15" x14ac:dyDescent="0.35">
      <c r="A21" s="160" t="s">
        <v>42</v>
      </c>
      <c r="B21" s="161">
        <v>0.45400000000000001</v>
      </c>
      <c r="C21" s="169">
        <v>0.19800000000000001</v>
      </c>
      <c r="D21" s="161">
        <v>160</v>
      </c>
      <c r="E21" s="161">
        <v>49</v>
      </c>
      <c r="F21" s="161">
        <v>54</v>
      </c>
      <c r="G21" s="161">
        <v>100</v>
      </c>
      <c r="H21" s="165">
        <v>90</v>
      </c>
      <c r="I21" s="172">
        <f>G21/F21</f>
        <v>1.8518518518518519</v>
      </c>
      <c r="J21" s="222">
        <f>E21/F21</f>
        <v>0.90740740740740744</v>
      </c>
      <c r="K21" s="221">
        <v>5.22</v>
      </c>
      <c r="L21" s="221">
        <v>5.18</v>
      </c>
      <c r="M21" s="221" t="s">
        <v>27</v>
      </c>
      <c r="N21" s="221" t="s">
        <v>52</v>
      </c>
      <c r="O21" s="221">
        <v>36</v>
      </c>
    </row>
    <row r="22" spans="1:15" ht="15" thickBot="1" x14ac:dyDescent="0.4">
      <c r="A22" s="167"/>
      <c r="B22" s="168"/>
      <c r="C22" s="170"/>
      <c r="D22" s="168"/>
      <c r="E22" s="168"/>
      <c r="F22" s="168"/>
      <c r="G22" s="168"/>
      <c r="H22" s="171"/>
      <c r="I22" s="173"/>
      <c r="J22" s="223"/>
      <c r="K22" s="224"/>
      <c r="L22" s="224"/>
      <c r="M22" s="221"/>
      <c r="N22" s="224"/>
      <c r="O22" s="221"/>
    </row>
    <row r="23" spans="1:15" x14ac:dyDescent="0.35">
      <c r="A23" s="85"/>
      <c r="B23" s="53">
        <f>ABS(B19-B21)/B21*100</f>
        <v>3.7444933920704755</v>
      </c>
      <c r="C23" s="86"/>
      <c r="D23" s="53">
        <f t="shared" ref="D23:G23" si="3">ABS(D19-D21)/D21*100</f>
        <v>11.25</v>
      </c>
      <c r="E23" s="91">
        <f t="shared" si="3"/>
        <v>34.693877551020407</v>
      </c>
      <c r="F23" s="53">
        <f t="shared" si="3"/>
        <v>5.5555555555555554</v>
      </c>
      <c r="G23" s="53">
        <f t="shared" si="3"/>
        <v>15</v>
      </c>
      <c r="H23" s="87"/>
      <c r="I23" s="88"/>
      <c r="J23" s="89"/>
      <c r="K23" s="90"/>
      <c r="L23" s="90"/>
      <c r="M23" s="59"/>
      <c r="N23" s="90"/>
      <c r="O23" s="59"/>
    </row>
    <row r="24" spans="1:15" x14ac:dyDescent="0.35">
      <c r="A24" s="151" t="s">
        <v>44</v>
      </c>
      <c r="B24" s="145">
        <v>0.46700000000000003</v>
      </c>
      <c r="C24" s="152">
        <v>0.20799999999999999</v>
      </c>
      <c r="D24" s="145">
        <v>180</v>
      </c>
      <c r="E24" s="145">
        <v>130</v>
      </c>
      <c r="F24" s="145">
        <v>43</v>
      </c>
      <c r="G24" s="145">
        <v>125</v>
      </c>
      <c r="H24" s="146">
        <v>90</v>
      </c>
      <c r="I24" s="147">
        <f>G24/F24</f>
        <v>2.9069767441860463</v>
      </c>
      <c r="J24" s="148">
        <f>E24/F24</f>
        <v>3.0232558139534884</v>
      </c>
      <c r="K24" s="144">
        <v>4.6900000000000004</v>
      </c>
      <c r="L24" s="144">
        <v>5.24</v>
      </c>
      <c r="M24" s="144" t="s">
        <v>27</v>
      </c>
      <c r="N24" s="144" t="s">
        <v>28</v>
      </c>
      <c r="O24" s="144">
        <v>31</v>
      </c>
    </row>
    <row r="25" spans="1:15" x14ac:dyDescent="0.35">
      <c r="A25" s="151"/>
      <c r="B25" s="145"/>
      <c r="C25" s="153"/>
      <c r="D25" s="145"/>
      <c r="E25" s="145"/>
      <c r="F25" s="145"/>
      <c r="G25" s="145"/>
      <c r="H25" s="146"/>
      <c r="I25" s="147"/>
      <c r="J25" s="148"/>
      <c r="K25" s="144"/>
      <c r="L25" s="144"/>
      <c r="M25" s="144"/>
      <c r="N25" s="144"/>
      <c r="O25" s="144"/>
    </row>
    <row r="26" spans="1:15" x14ac:dyDescent="0.35">
      <c r="A26" s="151" t="s">
        <v>45</v>
      </c>
      <c r="B26" s="145">
        <v>0.47099999999999997</v>
      </c>
      <c r="C26" s="156">
        <v>0.23699999999999999</v>
      </c>
      <c r="D26" s="145">
        <v>199</v>
      </c>
      <c r="E26" s="145">
        <v>65</v>
      </c>
      <c r="F26" s="145">
        <v>56</v>
      </c>
      <c r="G26" s="145">
        <v>150</v>
      </c>
      <c r="H26" s="146">
        <v>98</v>
      </c>
      <c r="I26" s="147">
        <f>G26/F26</f>
        <v>2.6785714285714284</v>
      </c>
      <c r="J26" s="148">
        <f>E26/F26</f>
        <v>1.1607142857142858</v>
      </c>
      <c r="K26" s="144">
        <v>4.8099999999999996</v>
      </c>
      <c r="L26" s="144">
        <v>5.29</v>
      </c>
      <c r="M26" s="144" t="s">
        <v>27</v>
      </c>
      <c r="N26" s="144" t="s">
        <v>52</v>
      </c>
      <c r="O26" s="144" t="s">
        <v>59</v>
      </c>
    </row>
    <row r="27" spans="1:15" ht="15" thickBot="1" x14ac:dyDescent="0.4">
      <c r="A27" s="154"/>
      <c r="B27" s="155"/>
      <c r="C27" s="157"/>
      <c r="D27" s="155"/>
      <c r="E27" s="155"/>
      <c r="F27" s="155"/>
      <c r="G27" s="155"/>
      <c r="H27" s="158"/>
      <c r="I27" s="159"/>
      <c r="J27" s="149"/>
      <c r="K27" s="150"/>
      <c r="L27" s="150"/>
      <c r="M27" s="144"/>
      <c r="N27" s="150"/>
      <c r="O27" s="144"/>
    </row>
    <row r="28" spans="1:15" x14ac:dyDescent="0.35">
      <c r="A28" s="92"/>
      <c r="B28" s="52">
        <f>ABS(B24-B26)/B26*100</f>
        <v>0.84925690021230327</v>
      </c>
      <c r="C28" s="98">
        <f t="shared" ref="C28:G28" si="4">ABS(C24-C26)/C26*100</f>
        <v>12.236286919831224</v>
      </c>
      <c r="D28" s="52">
        <f t="shared" si="4"/>
        <v>9.5477386934673358</v>
      </c>
      <c r="E28" s="52">
        <f t="shared" si="4"/>
        <v>100</v>
      </c>
      <c r="F28" s="97">
        <f t="shared" si="4"/>
        <v>23.214285714285715</v>
      </c>
      <c r="G28" s="97">
        <f t="shared" si="4"/>
        <v>16.666666666666664</v>
      </c>
      <c r="H28" s="93"/>
      <c r="I28" s="94"/>
      <c r="J28" s="95"/>
      <c r="K28" s="96"/>
      <c r="L28" s="96"/>
      <c r="M28" s="51"/>
      <c r="N28" s="96"/>
      <c r="O28" s="51"/>
    </row>
    <row r="29" spans="1:15" x14ac:dyDescent="0.35">
      <c r="A29" s="131" t="s">
        <v>47</v>
      </c>
      <c r="B29" s="133">
        <v>0.435</v>
      </c>
      <c r="C29" s="142">
        <v>0.23899999999999999</v>
      </c>
      <c r="D29" s="133">
        <v>200</v>
      </c>
      <c r="E29" s="133">
        <v>71</v>
      </c>
      <c r="F29" s="133">
        <v>72</v>
      </c>
      <c r="G29" s="133">
        <v>119</v>
      </c>
      <c r="H29" s="128">
        <v>86</v>
      </c>
      <c r="I29" s="129">
        <f>G29/F29</f>
        <v>1.6527777777777777</v>
      </c>
      <c r="J29" s="139">
        <f>E29/F29</f>
        <v>0.98611111111111116</v>
      </c>
      <c r="K29" s="130">
        <v>4.4400000000000004</v>
      </c>
      <c r="L29" s="130">
        <v>4.7699999999999996</v>
      </c>
      <c r="M29" s="130"/>
      <c r="N29" s="130" t="s">
        <v>28</v>
      </c>
      <c r="O29" s="130"/>
    </row>
    <row r="30" spans="1:15" x14ac:dyDescent="0.35">
      <c r="A30" s="131"/>
      <c r="B30" s="133"/>
      <c r="C30" s="143"/>
      <c r="D30" s="133"/>
      <c r="E30" s="133"/>
      <c r="F30" s="133"/>
      <c r="G30" s="133"/>
      <c r="H30" s="128"/>
      <c r="I30" s="129"/>
      <c r="J30" s="139"/>
      <c r="K30" s="130"/>
      <c r="L30" s="130"/>
      <c r="M30" s="130"/>
      <c r="N30" s="130"/>
      <c r="O30" s="130"/>
    </row>
    <row r="31" spans="1:15" x14ac:dyDescent="0.35">
      <c r="A31" s="131" t="s">
        <v>48</v>
      </c>
      <c r="B31" s="133">
        <v>0.45</v>
      </c>
      <c r="C31" s="135">
        <v>0.24399999999999999</v>
      </c>
      <c r="D31" s="133"/>
      <c r="E31" s="133"/>
      <c r="F31" s="133"/>
      <c r="G31" s="133"/>
      <c r="H31" s="128">
        <v>100</v>
      </c>
      <c r="I31" s="129"/>
      <c r="J31" s="139"/>
      <c r="K31" s="130">
        <v>4.33</v>
      </c>
      <c r="L31" s="130">
        <v>5.01</v>
      </c>
      <c r="M31" s="130"/>
      <c r="N31" s="130"/>
      <c r="O31" s="130"/>
    </row>
    <row r="32" spans="1:15" ht="15" thickBot="1" x14ac:dyDescent="0.4">
      <c r="A32" s="132"/>
      <c r="B32" s="134"/>
      <c r="C32" s="136"/>
      <c r="D32" s="134"/>
      <c r="E32" s="134"/>
      <c r="F32" s="134"/>
      <c r="G32" s="134"/>
      <c r="H32" s="137"/>
      <c r="I32" s="138"/>
      <c r="J32" s="140"/>
      <c r="K32" s="141"/>
      <c r="L32" s="141"/>
      <c r="M32" s="130"/>
      <c r="N32" s="141"/>
      <c r="O32" s="130"/>
    </row>
    <row r="33" spans="1:16" ht="15" thickBot="1" x14ac:dyDescent="0.4">
      <c r="A33" s="257"/>
      <c r="B33" s="110">
        <f>ABS(B29-B31)/B31*100</f>
        <v>3.3333333333333361</v>
      </c>
      <c r="C33" s="111">
        <f t="shared" ref="C33" si="5">ABS(C29-C31)/C31*100</f>
        <v>2.0491803278688545</v>
      </c>
      <c r="D33" s="110"/>
      <c r="E33" s="110"/>
      <c r="F33" s="110"/>
      <c r="G33" s="110"/>
      <c r="H33" s="112"/>
      <c r="I33" s="258"/>
      <c r="J33" s="259"/>
      <c r="K33" s="113"/>
      <c r="L33" s="113"/>
      <c r="M33" s="109"/>
      <c r="N33" s="113"/>
      <c r="O33" s="109"/>
    </row>
    <row r="34" spans="1:16" x14ac:dyDescent="0.35">
      <c r="A34" s="225" t="s">
        <v>49</v>
      </c>
      <c r="B34" s="119">
        <v>0.44</v>
      </c>
      <c r="C34" s="126">
        <v>0.25800000000000001</v>
      </c>
      <c r="D34" s="119">
        <v>197</v>
      </c>
      <c r="E34" s="119">
        <v>72</v>
      </c>
      <c r="F34" s="119">
        <v>60</v>
      </c>
      <c r="G34" s="119">
        <v>129</v>
      </c>
      <c r="H34" s="118">
        <v>108</v>
      </c>
      <c r="I34" s="235">
        <f>G34/F34</f>
        <v>2.15</v>
      </c>
      <c r="J34" s="233">
        <f>E34/F34</f>
        <v>1.2</v>
      </c>
      <c r="K34" s="117">
        <v>6.7</v>
      </c>
      <c r="L34" s="117">
        <v>4.84</v>
      </c>
      <c r="M34" s="117" t="s">
        <v>27</v>
      </c>
      <c r="N34" s="117" t="s">
        <v>52</v>
      </c>
      <c r="O34" s="117">
        <v>41</v>
      </c>
    </row>
    <row r="35" spans="1:16" x14ac:dyDescent="0.35">
      <c r="A35" s="225"/>
      <c r="B35" s="119"/>
      <c r="C35" s="127"/>
      <c r="D35" s="119"/>
      <c r="E35" s="119"/>
      <c r="F35" s="119"/>
      <c r="G35" s="119"/>
      <c r="H35" s="118"/>
      <c r="I35" s="236"/>
      <c r="J35" s="234"/>
      <c r="K35" s="117"/>
      <c r="L35" s="117"/>
      <c r="M35" s="117"/>
      <c r="N35" s="117"/>
      <c r="O35" s="117"/>
    </row>
    <row r="36" spans="1:16" x14ac:dyDescent="0.35">
      <c r="A36" s="225" t="s">
        <v>50</v>
      </c>
      <c r="B36" s="119">
        <v>0.433</v>
      </c>
      <c r="C36" s="120">
        <v>0.21099999999999999</v>
      </c>
      <c r="D36" s="119">
        <v>192</v>
      </c>
      <c r="E36" s="119">
        <v>162</v>
      </c>
      <c r="F36" s="119">
        <v>65</v>
      </c>
      <c r="G36" s="119">
        <v>122</v>
      </c>
      <c r="H36" s="118">
        <v>172</v>
      </c>
      <c r="I36" s="123">
        <f>G36/F36</f>
        <v>1.8769230769230769</v>
      </c>
      <c r="J36" s="116">
        <f>E36/F36</f>
        <v>2.4923076923076923</v>
      </c>
      <c r="K36" s="117">
        <v>5.92</v>
      </c>
      <c r="L36" s="117">
        <v>4.78</v>
      </c>
      <c r="M36" s="117" t="s">
        <v>27</v>
      </c>
      <c r="N36" s="117" t="s">
        <v>52</v>
      </c>
      <c r="O36" s="117">
        <v>41</v>
      </c>
    </row>
    <row r="37" spans="1:16" ht="15" thickBot="1" x14ac:dyDescent="0.4">
      <c r="A37" s="226"/>
      <c r="B37" s="227"/>
      <c r="C37" s="228"/>
      <c r="D37" s="227"/>
      <c r="E37" s="227"/>
      <c r="F37" s="227"/>
      <c r="G37" s="227"/>
      <c r="H37" s="229"/>
      <c r="I37" s="230"/>
      <c r="J37" s="231"/>
      <c r="K37" s="232"/>
      <c r="L37" s="232"/>
      <c r="M37" s="117"/>
      <c r="N37" s="117"/>
      <c r="O37" s="117"/>
      <c r="P37" t="s">
        <v>37</v>
      </c>
    </row>
    <row r="38" spans="1:16" x14ac:dyDescent="0.35">
      <c r="A38" s="99"/>
      <c r="B38" s="43">
        <f>ABS(B34-B36)/B36*100</f>
        <v>1.6166281755196319</v>
      </c>
      <c r="C38" s="102">
        <f t="shared" ref="C38:G38" si="6">ABS(C34-C36)/C36*100</f>
        <v>22.274881516587687</v>
      </c>
      <c r="D38" s="43">
        <f t="shared" si="6"/>
        <v>2.604166666666667</v>
      </c>
      <c r="E38" s="101">
        <f t="shared" si="6"/>
        <v>55.555555555555557</v>
      </c>
      <c r="F38" s="43">
        <f t="shared" si="6"/>
        <v>7.6923076923076925</v>
      </c>
      <c r="G38" s="43">
        <f t="shared" si="6"/>
        <v>5.7377049180327866</v>
      </c>
      <c r="H38" s="44"/>
      <c r="I38" s="45"/>
      <c r="J38" s="100"/>
      <c r="K38" s="46"/>
      <c r="L38" s="46"/>
      <c r="M38" s="42"/>
      <c r="N38" s="42"/>
      <c r="O38" s="42"/>
    </row>
    <row r="39" spans="1:16" x14ac:dyDescent="0.35">
      <c r="A39" s="174" t="s">
        <v>53</v>
      </c>
      <c r="B39" s="191">
        <v>0.42099999999999999</v>
      </c>
      <c r="C39" s="237">
        <v>0.20599999999999999</v>
      </c>
      <c r="D39" s="191">
        <v>161</v>
      </c>
      <c r="E39" s="191">
        <v>40</v>
      </c>
      <c r="F39" s="191">
        <v>70</v>
      </c>
      <c r="G39" s="191">
        <v>85</v>
      </c>
      <c r="H39" s="202">
        <v>172</v>
      </c>
      <c r="I39" s="199">
        <f t="shared" ref="I39" si="7">G39/F39</f>
        <v>1.2142857142857142</v>
      </c>
      <c r="J39" s="201">
        <f t="shared" ref="J39" si="8">E39/F39</f>
        <v>0.5714285714285714</v>
      </c>
      <c r="K39" s="189">
        <v>4.6500000000000004</v>
      </c>
      <c r="L39" s="189">
        <v>4.68</v>
      </c>
      <c r="M39" s="189" t="s">
        <v>58</v>
      </c>
      <c r="N39" s="189" t="s">
        <v>52</v>
      </c>
      <c r="O39" s="189">
        <v>43</v>
      </c>
    </row>
    <row r="40" spans="1:16" x14ac:dyDescent="0.35">
      <c r="A40" s="174"/>
      <c r="B40" s="191"/>
      <c r="C40" s="200"/>
      <c r="D40" s="191"/>
      <c r="E40" s="191"/>
      <c r="F40" s="191"/>
      <c r="G40" s="191"/>
      <c r="H40" s="202"/>
      <c r="I40" s="199"/>
      <c r="J40" s="201"/>
      <c r="K40" s="189"/>
      <c r="L40" s="189"/>
      <c r="M40" s="189"/>
      <c r="N40" s="189"/>
      <c r="O40" s="189"/>
    </row>
    <row r="41" spans="1:16" x14ac:dyDescent="0.35">
      <c r="A41" s="174" t="s">
        <v>54</v>
      </c>
      <c r="B41" s="191">
        <v>0.44500000000000001</v>
      </c>
      <c r="C41" s="193">
        <v>0.20799999999999999</v>
      </c>
      <c r="D41" s="191">
        <v>159</v>
      </c>
      <c r="E41" s="191">
        <v>34</v>
      </c>
      <c r="F41" s="191">
        <v>67</v>
      </c>
      <c r="G41" s="191">
        <v>89</v>
      </c>
      <c r="H41" s="202">
        <v>172</v>
      </c>
      <c r="I41" s="199">
        <f t="shared" ref="I41" si="9">G41/F41</f>
        <v>1.3283582089552239</v>
      </c>
      <c r="J41" s="201">
        <f t="shared" ref="J41" si="10">E41/F41</f>
        <v>0.5074626865671642</v>
      </c>
      <c r="K41" s="189">
        <v>4.4400000000000004</v>
      </c>
      <c r="L41" s="189">
        <v>4.8</v>
      </c>
      <c r="M41" s="189" t="s">
        <v>58</v>
      </c>
      <c r="N41" s="189" t="s">
        <v>52</v>
      </c>
      <c r="O41" s="189">
        <v>43</v>
      </c>
    </row>
    <row r="42" spans="1:16" ht="15" thickBot="1" x14ac:dyDescent="0.4">
      <c r="A42" s="175"/>
      <c r="B42" s="192"/>
      <c r="C42" s="194"/>
      <c r="D42" s="192"/>
      <c r="E42" s="192"/>
      <c r="F42" s="192"/>
      <c r="G42" s="192"/>
      <c r="H42" s="203"/>
      <c r="I42" s="204"/>
      <c r="J42" s="207"/>
      <c r="K42" s="190"/>
      <c r="L42" s="190"/>
      <c r="M42" s="189"/>
      <c r="N42" s="189"/>
      <c r="O42" s="189"/>
    </row>
    <row r="43" spans="1:16" x14ac:dyDescent="0.35">
      <c r="A43" s="72"/>
      <c r="B43" s="115">
        <f>ABS(B39-B41)/B41*100</f>
        <v>5.3932584269662973</v>
      </c>
      <c r="C43" s="73">
        <f t="shared" ref="C43:G43" si="11">ABS(C39-C41)/C41*100</f>
        <v>0.96153846153846245</v>
      </c>
      <c r="D43" s="115">
        <f t="shared" si="11"/>
        <v>1.257861635220126</v>
      </c>
      <c r="E43" s="115">
        <f t="shared" si="11"/>
        <v>17.647058823529413</v>
      </c>
      <c r="F43" s="115">
        <f t="shared" si="11"/>
        <v>4.4776119402985071</v>
      </c>
      <c r="G43" s="115">
        <f t="shared" si="11"/>
        <v>4.4943820224719104</v>
      </c>
      <c r="H43" s="74"/>
      <c r="I43" s="75"/>
      <c r="J43" s="76"/>
      <c r="K43" s="77"/>
      <c r="L43" s="77"/>
      <c r="M43" s="114"/>
      <c r="N43" s="114"/>
      <c r="O43" s="114"/>
    </row>
    <row r="44" spans="1:16" x14ac:dyDescent="0.35">
      <c r="A44" s="240" t="s">
        <v>56</v>
      </c>
      <c r="B44" s="242">
        <v>0.50600000000000001</v>
      </c>
      <c r="C44" s="251">
        <v>0.216</v>
      </c>
      <c r="D44" s="242">
        <v>313</v>
      </c>
      <c r="E44" s="242">
        <v>328</v>
      </c>
      <c r="F44" s="242">
        <v>61</v>
      </c>
      <c r="G44" s="242">
        <v>222</v>
      </c>
      <c r="H44" s="245">
        <v>172</v>
      </c>
      <c r="I44" s="247">
        <f t="shared" ref="I44" si="12">G44/F44</f>
        <v>3.639344262295082</v>
      </c>
      <c r="J44" s="238">
        <f t="shared" ref="J44:J46" si="13">E44/F44</f>
        <v>5.3770491803278686</v>
      </c>
      <c r="K44" s="239">
        <v>8.08</v>
      </c>
      <c r="L44" s="239">
        <v>5.48</v>
      </c>
      <c r="M44" s="239" t="s">
        <v>27</v>
      </c>
      <c r="N44" s="239" t="s">
        <v>52</v>
      </c>
      <c r="O44" s="239">
        <v>36</v>
      </c>
    </row>
    <row r="45" spans="1:16" x14ac:dyDescent="0.35">
      <c r="A45" s="240"/>
      <c r="B45" s="242"/>
      <c r="C45" s="252"/>
      <c r="D45" s="242"/>
      <c r="E45" s="242"/>
      <c r="F45" s="242"/>
      <c r="G45" s="242"/>
      <c r="H45" s="245"/>
      <c r="I45" s="247"/>
      <c r="J45" s="238"/>
      <c r="K45" s="239"/>
      <c r="L45" s="239"/>
      <c r="M45" s="239"/>
      <c r="N45" s="239"/>
      <c r="O45" s="239"/>
    </row>
    <row r="46" spans="1:16" x14ac:dyDescent="0.35">
      <c r="A46" s="240" t="s">
        <v>57</v>
      </c>
      <c r="B46" s="242">
        <v>0.434</v>
      </c>
      <c r="C46" s="243">
        <v>0.28499999999999998</v>
      </c>
      <c r="D46" s="242">
        <v>299</v>
      </c>
      <c r="E46" s="242">
        <v>749</v>
      </c>
      <c r="F46" s="242">
        <v>37</v>
      </c>
      <c r="G46" s="242">
        <v>138</v>
      </c>
      <c r="H46" s="245">
        <v>172</v>
      </c>
      <c r="I46" s="247">
        <f t="shared" ref="I46" si="14">G46/F46</f>
        <v>3.7297297297297298</v>
      </c>
      <c r="J46" s="238">
        <f t="shared" si="13"/>
        <v>20.243243243243242</v>
      </c>
      <c r="K46" s="239">
        <v>5.58</v>
      </c>
      <c r="L46" s="239">
        <v>4.93</v>
      </c>
      <c r="M46" s="239" t="s">
        <v>27</v>
      </c>
      <c r="N46" s="239" t="s">
        <v>52</v>
      </c>
      <c r="O46" s="239">
        <v>36</v>
      </c>
    </row>
    <row r="47" spans="1:16" x14ac:dyDescent="0.35">
      <c r="A47" s="241"/>
      <c r="B47" s="243"/>
      <c r="C47" s="244"/>
      <c r="D47" s="243"/>
      <c r="E47" s="243"/>
      <c r="F47" s="243"/>
      <c r="G47" s="243"/>
      <c r="H47" s="246"/>
      <c r="I47" s="248"/>
      <c r="J47" s="249"/>
      <c r="K47" s="250"/>
      <c r="L47" s="250"/>
      <c r="M47" s="250"/>
      <c r="N47" s="250"/>
      <c r="O47" s="250"/>
    </row>
    <row r="48" spans="1:16" x14ac:dyDescent="0.35">
      <c r="A48" s="103"/>
      <c r="B48" s="60">
        <f>ABS(B44-B46)/B46*100</f>
        <v>16.589861751152078</v>
      </c>
      <c r="C48" s="108">
        <f t="shared" ref="C48:G48" si="15">ABS(C44-C46)/C46*100</f>
        <v>24.210526315789469</v>
      </c>
      <c r="D48" s="60">
        <f t="shared" si="15"/>
        <v>4.6822742474916383</v>
      </c>
      <c r="E48" s="107">
        <f t="shared" si="15"/>
        <v>56.2082777036048</v>
      </c>
      <c r="F48" s="107">
        <f t="shared" si="15"/>
        <v>64.86486486486487</v>
      </c>
      <c r="G48" s="107">
        <f t="shared" si="15"/>
        <v>60.869565217391312</v>
      </c>
      <c r="H48" s="61"/>
      <c r="I48" s="62"/>
      <c r="J48" s="63"/>
      <c r="K48" s="64"/>
      <c r="L48" s="64"/>
      <c r="M48" s="64"/>
      <c r="N48" s="64"/>
      <c r="O48" s="64"/>
    </row>
    <row r="49" spans="1:15" x14ac:dyDescent="0.35">
      <c r="A49" s="128" t="s">
        <v>60</v>
      </c>
      <c r="B49" s="133">
        <v>0.44500000000000001</v>
      </c>
      <c r="C49" s="142">
        <v>0.26100000000000001</v>
      </c>
      <c r="D49" s="133">
        <v>234</v>
      </c>
      <c r="E49" s="133">
        <v>155</v>
      </c>
      <c r="F49" s="133">
        <v>51</v>
      </c>
      <c r="G49" s="133">
        <v>163</v>
      </c>
      <c r="H49" s="128">
        <v>101</v>
      </c>
      <c r="I49" s="129">
        <f t="shared" ref="I49" si="16">G49/F49</f>
        <v>3.1960784313725492</v>
      </c>
      <c r="J49" s="139">
        <f t="shared" ref="J49:J51" si="17">E49/F49</f>
        <v>3.0392156862745097</v>
      </c>
      <c r="K49" s="130">
        <v>5.35</v>
      </c>
      <c r="L49" s="130">
        <v>5.33</v>
      </c>
      <c r="M49" s="130" t="s">
        <v>27</v>
      </c>
      <c r="N49" s="130" t="s">
        <v>52</v>
      </c>
      <c r="O49" s="130">
        <v>32</v>
      </c>
    </row>
    <row r="50" spans="1:15" x14ac:dyDescent="0.35">
      <c r="A50" s="128"/>
      <c r="B50" s="133"/>
      <c r="C50" s="143"/>
      <c r="D50" s="133"/>
      <c r="E50" s="133"/>
      <c r="F50" s="133"/>
      <c r="G50" s="133"/>
      <c r="H50" s="128"/>
      <c r="I50" s="129"/>
      <c r="J50" s="139"/>
      <c r="K50" s="130"/>
      <c r="L50" s="130"/>
      <c r="M50" s="130"/>
      <c r="N50" s="130"/>
      <c r="O50" s="130"/>
    </row>
    <row r="51" spans="1:15" x14ac:dyDescent="0.35">
      <c r="A51" s="128" t="s">
        <v>61</v>
      </c>
      <c r="B51" s="133">
        <v>0.46300000000000002</v>
      </c>
      <c r="C51" s="135">
        <v>0.191</v>
      </c>
      <c r="D51" s="133">
        <v>255</v>
      </c>
      <c r="E51" s="133">
        <v>281</v>
      </c>
      <c r="F51" s="133">
        <v>63</v>
      </c>
      <c r="G51" s="133">
        <v>164</v>
      </c>
      <c r="H51" s="128">
        <v>107</v>
      </c>
      <c r="I51" s="129">
        <f t="shared" ref="I51" si="18">G51/F51</f>
        <v>2.6031746031746033</v>
      </c>
      <c r="J51" s="139">
        <f t="shared" si="17"/>
        <v>4.4603174603174605</v>
      </c>
      <c r="K51" s="130">
        <v>5.18</v>
      </c>
      <c r="L51" s="130">
        <v>5.53</v>
      </c>
      <c r="M51" s="130" t="s">
        <v>27</v>
      </c>
      <c r="N51" s="130" t="s">
        <v>52</v>
      </c>
      <c r="O51" s="130">
        <v>32</v>
      </c>
    </row>
    <row r="52" spans="1:15" x14ac:dyDescent="0.35">
      <c r="A52" s="128"/>
      <c r="B52" s="135"/>
      <c r="C52" s="253"/>
      <c r="D52" s="135"/>
      <c r="E52" s="135"/>
      <c r="F52" s="135"/>
      <c r="G52" s="135"/>
      <c r="H52" s="254"/>
      <c r="I52" s="255"/>
      <c r="J52" s="139"/>
      <c r="K52" s="256"/>
      <c r="L52" s="256"/>
      <c r="M52" s="130"/>
      <c r="N52" s="130"/>
      <c r="O52" s="130"/>
    </row>
    <row r="53" spans="1:15" x14ac:dyDescent="0.35">
      <c r="A53" s="47"/>
      <c r="B53" s="49">
        <f>ABS(B49-B51)/B51*100</f>
        <v>3.8876889848812128</v>
      </c>
      <c r="C53" s="105">
        <f t="shared" ref="C53:G53" si="19">ABS(C49-C51)/C51*100</f>
        <v>36.649214659685867</v>
      </c>
      <c r="D53" s="49">
        <f t="shared" si="19"/>
        <v>8.235294117647058</v>
      </c>
      <c r="E53" s="104">
        <f t="shared" si="19"/>
        <v>44.839857651245552</v>
      </c>
      <c r="F53" s="104">
        <f t="shared" si="19"/>
        <v>19.047619047619047</v>
      </c>
      <c r="G53" s="49">
        <f t="shared" si="19"/>
        <v>0.6097560975609756</v>
      </c>
      <c r="H53" s="65"/>
      <c r="I53" s="66"/>
      <c r="J53" s="50"/>
      <c r="K53" s="67"/>
      <c r="L53" s="67"/>
      <c r="M53" s="48"/>
      <c r="N53" s="48"/>
      <c r="O53" s="48"/>
    </row>
    <row r="54" spans="1:15" x14ac:dyDescent="0.35">
      <c r="A54" s="118" t="s">
        <v>62</v>
      </c>
      <c r="B54" s="119">
        <v>0.41699999999999998</v>
      </c>
      <c r="C54" s="126">
        <v>0.26700000000000002</v>
      </c>
      <c r="D54" s="119">
        <v>223</v>
      </c>
      <c r="E54" s="119">
        <v>62</v>
      </c>
      <c r="F54" s="119">
        <v>78</v>
      </c>
      <c r="G54" s="119">
        <v>130</v>
      </c>
      <c r="H54" s="118">
        <v>87</v>
      </c>
      <c r="I54" s="123">
        <f t="shared" ref="I54" si="20">G54/F54</f>
        <v>1.6666666666666667</v>
      </c>
      <c r="J54" s="116">
        <f t="shared" ref="J54" si="21">E54/F54</f>
        <v>0.79487179487179482</v>
      </c>
      <c r="K54" s="117">
        <v>2.88</v>
      </c>
      <c r="L54" s="117">
        <v>4.96</v>
      </c>
      <c r="M54" s="117" t="s">
        <v>58</v>
      </c>
      <c r="N54" s="117" t="s">
        <v>52</v>
      </c>
      <c r="O54" s="117">
        <v>43</v>
      </c>
    </row>
    <row r="55" spans="1:15" x14ac:dyDescent="0.35">
      <c r="A55" s="118"/>
      <c r="B55" s="119"/>
      <c r="C55" s="127"/>
      <c r="D55" s="119"/>
      <c r="E55" s="119"/>
      <c r="F55" s="119"/>
      <c r="G55" s="119"/>
      <c r="H55" s="118"/>
      <c r="I55" s="123"/>
      <c r="J55" s="116"/>
      <c r="K55" s="117"/>
      <c r="L55" s="117"/>
      <c r="M55" s="117"/>
      <c r="N55" s="117"/>
      <c r="O55" s="117"/>
    </row>
    <row r="56" spans="1:15" x14ac:dyDescent="0.35">
      <c r="A56" s="118" t="s">
        <v>63</v>
      </c>
      <c r="B56" s="119">
        <v>0.40400000000000003</v>
      </c>
      <c r="C56" s="120">
        <v>0.23599999999999999</v>
      </c>
      <c r="D56" s="119">
        <v>213</v>
      </c>
      <c r="E56" s="119">
        <v>70</v>
      </c>
      <c r="F56" s="119">
        <v>72</v>
      </c>
      <c r="G56" s="119">
        <v>129</v>
      </c>
      <c r="H56" s="118">
        <v>87</v>
      </c>
      <c r="I56" s="123">
        <f t="shared" ref="I56:J56" si="22">G56/F56</f>
        <v>1.7916666666666667</v>
      </c>
      <c r="J56" s="123">
        <f t="shared" si="22"/>
        <v>0.67441860465116277</v>
      </c>
      <c r="K56" s="117">
        <v>3.13</v>
      </c>
      <c r="L56" s="117">
        <v>4.71</v>
      </c>
      <c r="M56" s="117" t="s">
        <v>58</v>
      </c>
      <c r="N56" s="117" t="s">
        <v>52</v>
      </c>
      <c r="O56" s="117">
        <v>43</v>
      </c>
    </row>
    <row r="57" spans="1:15" x14ac:dyDescent="0.35">
      <c r="A57" s="118"/>
      <c r="B57" s="120"/>
      <c r="C57" s="121"/>
      <c r="D57" s="120"/>
      <c r="E57" s="120"/>
      <c r="F57" s="120"/>
      <c r="G57" s="120"/>
      <c r="H57" s="122"/>
      <c r="I57" s="124"/>
      <c r="J57" s="124"/>
      <c r="K57" s="125"/>
      <c r="L57" s="125"/>
      <c r="M57" s="117"/>
      <c r="N57" s="117"/>
      <c r="O57" s="117"/>
    </row>
    <row r="58" spans="1:15" ht="15" thickBot="1" x14ac:dyDescent="0.4">
      <c r="B58">
        <f>ABS(B54-B56)/B56*100</f>
        <v>3.2178217821782069</v>
      </c>
      <c r="C58" s="106">
        <f t="shared" ref="C58:G58" si="23">ABS(C54-C56)/C56*100</f>
        <v>13.135593220338995</v>
      </c>
      <c r="D58">
        <f t="shared" si="23"/>
        <v>4.6948356807511731</v>
      </c>
      <c r="E58" s="106">
        <f t="shared" si="23"/>
        <v>11.428571428571429</v>
      </c>
      <c r="F58">
        <f t="shared" si="23"/>
        <v>8.3333333333333321</v>
      </c>
      <c r="G58">
        <f t="shared" si="23"/>
        <v>0.77519379844961245</v>
      </c>
    </row>
    <row r="59" spans="1:15" ht="15" thickBot="1" x14ac:dyDescent="0.4">
      <c r="B59" s="260">
        <f>AVERAGE(B8,B13,B18,B23,B28,B43,B33,B38,B48,B53,B58)</f>
        <v>4.5208639333314773</v>
      </c>
      <c r="C59" s="261">
        <f t="shared" ref="C59:D59" si="24">AVERAGE(C8,C13,C18,C23,C28,C43,C33,C38,C48,C53,C58)</f>
        <v>13.440146121069358</v>
      </c>
      <c r="D59" s="262">
        <f t="shared" si="24"/>
        <v>6.4528724756164495</v>
      </c>
    </row>
  </sheetData>
  <mergeCells count="332">
    <mergeCell ref="O49:O50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B49:B50"/>
    <mergeCell ref="C49:C50"/>
    <mergeCell ref="D49:D50"/>
    <mergeCell ref="E49:E50"/>
    <mergeCell ref="F49:F50"/>
    <mergeCell ref="G49:G50"/>
    <mergeCell ref="H49:H50"/>
    <mergeCell ref="J49:J50"/>
    <mergeCell ref="L44:L45"/>
    <mergeCell ref="M44:M45"/>
    <mergeCell ref="N44:N45"/>
    <mergeCell ref="G44:G45"/>
    <mergeCell ref="H44:H45"/>
    <mergeCell ref="I44:I45"/>
    <mergeCell ref="K49:K50"/>
    <mergeCell ref="L49:L50"/>
    <mergeCell ref="M49:M50"/>
    <mergeCell ref="N49:N50"/>
    <mergeCell ref="J44:J45"/>
    <mergeCell ref="K44:K45"/>
    <mergeCell ref="O44:O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A44:A45"/>
    <mergeCell ref="B44:B45"/>
    <mergeCell ref="C44:C45"/>
    <mergeCell ref="D44:D45"/>
    <mergeCell ref="E44:E45"/>
    <mergeCell ref="F44:F45"/>
    <mergeCell ref="N39:N40"/>
    <mergeCell ref="O39:O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A39:A40"/>
    <mergeCell ref="B39:B40"/>
    <mergeCell ref="C39:C40"/>
    <mergeCell ref="K39:K40"/>
    <mergeCell ref="D39:D40"/>
    <mergeCell ref="E39:E40"/>
    <mergeCell ref="F39:F40"/>
    <mergeCell ref="D34:D35"/>
    <mergeCell ref="E34:E35"/>
    <mergeCell ref="F34:F35"/>
    <mergeCell ref="G34:G35"/>
    <mergeCell ref="H34:H35"/>
    <mergeCell ref="I34:I35"/>
    <mergeCell ref="J39:J40"/>
    <mergeCell ref="L39:L40"/>
    <mergeCell ref="M39:M40"/>
    <mergeCell ref="G39:G40"/>
    <mergeCell ref="H39:H40"/>
    <mergeCell ref="I39:I40"/>
    <mergeCell ref="K34:K35"/>
    <mergeCell ref="L34:L35"/>
    <mergeCell ref="M34:M35"/>
    <mergeCell ref="N34:N35"/>
    <mergeCell ref="O34:O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A34:A35"/>
    <mergeCell ref="B34:B35"/>
    <mergeCell ref="J34:J35"/>
    <mergeCell ref="C34:C35"/>
    <mergeCell ref="K19:K20"/>
    <mergeCell ref="L19:L20"/>
    <mergeCell ref="M19:M20"/>
    <mergeCell ref="N19:N20"/>
    <mergeCell ref="O19:O20"/>
    <mergeCell ref="J21:J22"/>
    <mergeCell ref="K21:K22"/>
    <mergeCell ref="L21:L22"/>
    <mergeCell ref="M21:M22"/>
    <mergeCell ref="N21:N22"/>
    <mergeCell ref="O21:O22"/>
    <mergeCell ref="J16:J17"/>
    <mergeCell ref="K16:K17"/>
    <mergeCell ref="L16:L17"/>
    <mergeCell ref="M16:M17"/>
    <mergeCell ref="N16:N17"/>
    <mergeCell ref="O16:O17"/>
    <mergeCell ref="O14:O15"/>
    <mergeCell ref="J14:J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A14:A15"/>
    <mergeCell ref="B14:B15"/>
    <mergeCell ref="C14:C15"/>
    <mergeCell ref="D14:D15"/>
    <mergeCell ref="E14:E15"/>
    <mergeCell ref="E11:E12"/>
    <mergeCell ref="F11:F12"/>
    <mergeCell ref="G11:G12"/>
    <mergeCell ref="H11:H12"/>
    <mergeCell ref="I11:I12"/>
    <mergeCell ref="K14:K15"/>
    <mergeCell ref="L14:L15"/>
    <mergeCell ref="M14:M15"/>
    <mergeCell ref="N14:N15"/>
    <mergeCell ref="F14:F15"/>
    <mergeCell ref="G14:G15"/>
    <mergeCell ref="J11:J12"/>
    <mergeCell ref="K11:K12"/>
    <mergeCell ref="L11:L12"/>
    <mergeCell ref="M11:M12"/>
    <mergeCell ref="N11:N12"/>
    <mergeCell ref="H14:H15"/>
    <mergeCell ref="I14:I15"/>
    <mergeCell ref="I9:I10"/>
    <mergeCell ref="K9:K10"/>
    <mergeCell ref="L9:L10"/>
    <mergeCell ref="M9:M10"/>
    <mergeCell ref="N9:N10"/>
    <mergeCell ref="O9:O10"/>
    <mergeCell ref="A9:A10"/>
    <mergeCell ref="B9:B10"/>
    <mergeCell ref="C9:C10"/>
    <mergeCell ref="D9:D10"/>
    <mergeCell ref="E9:E10"/>
    <mergeCell ref="J9:J10"/>
    <mergeCell ref="F9:F10"/>
    <mergeCell ref="G9:G10"/>
    <mergeCell ref="H9:H10"/>
    <mergeCell ref="F4:F5"/>
    <mergeCell ref="O6:O7"/>
    <mergeCell ref="C4:C5"/>
    <mergeCell ref="C6:C7"/>
    <mergeCell ref="O4:O5"/>
    <mergeCell ref="K6:K7"/>
    <mergeCell ref="L6:L7"/>
    <mergeCell ref="M6:M7"/>
    <mergeCell ref="N6:N7"/>
    <mergeCell ref="J4:J5"/>
    <mergeCell ref="K4:K5"/>
    <mergeCell ref="L4:L5"/>
    <mergeCell ref="M4:M5"/>
    <mergeCell ref="A11:A12"/>
    <mergeCell ref="A2:A3"/>
    <mergeCell ref="O2:O3"/>
    <mergeCell ref="A6:A7"/>
    <mergeCell ref="B6:B7"/>
    <mergeCell ref="D6:D7"/>
    <mergeCell ref="E6:E7"/>
    <mergeCell ref="F6:F7"/>
    <mergeCell ref="G6:G7"/>
    <mergeCell ref="H6:H7"/>
    <mergeCell ref="I6:I7"/>
    <mergeCell ref="J6:J7"/>
    <mergeCell ref="N4:N5"/>
    <mergeCell ref="G4:G5"/>
    <mergeCell ref="O11:O12"/>
    <mergeCell ref="B11:B12"/>
    <mergeCell ref="C11:C12"/>
    <mergeCell ref="D11:D12"/>
    <mergeCell ref="H4:H5"/>
    <mergeCell ref="I4:I5"/>
    <mergeCell ref="A4:A5"/>
    <mergeCell ref="B4:B5"/>
    <mergeCell ref="D4:D5"/>
    <mergeCell ref="E4:E5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19:A20"/>
    <mergeCell ref="B19:B20"/>
    <mergeCell ref="J19:J20"/>
    <mergeCell ref="C19:C20"/>
    <mergeCell ref="D19:D20"/>
    <mergeCell ref="E19:E20"/>
    <mergeCell ref="F19:F20"/>
    <mergeCell ref="G19:G20"/>
    <mergeCell ref="H19:H20"/>
    <mergeCell ref="I19:I20"/>
    <mergeCell ref="L26:L27"/>
    <mergeCell ref="M26:M27"/>
    <mergeCell ref="N26:N27"/>
    <mergeCell ref="O26:O27"/>
    <mergeCell ref="A24:A25"/>
    <mergeCell ref="B24:B25"/>
    <mergeCell ref="C24:C25"/>
    <mergeCell ref="J24:J25"/>
    <mergeCell ref="L24:L25"/>
    <mergeCell ref="M24:M25"/>
    <mergeCell ref="N24:N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O24:O25"/>
    <mergeCell ref="F29:F30"/>
    <mergeCell ref="G29:G30"/>
    <mergeCell ref="H29:H30"/>
    <mergeCell ref="I29:I30"/>
    <mergeCell ref="K24:K25"/>
    <mergeCell ref="D24:D25"/>
    <mergeCell ref="E24:E25"/>
    <mergeCell ref="F24:F25"/>
    <mergeCell ref="G24:G25"/>
    <mergeCell ref="H24:H25"/>
    <mergeCell ref="I24:I25"/>
    <mergeCell ref="J29:J30"/>
    <mergeCell ref="K29:K30"/>
    <mergeCell ref="J26:J27"/>
    <mergeCell ref="K26:K27"/>
    <mergeCell ref="L29:L30"/>
    <mergeCell ref="M29:M30"/>
    <mergeCell ref="N29:N30"/>
    <mergeCell ref="O29:O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A29:A30"/>
    <mergeCell ref="B29:B30"/>
    <mergeCell ref="C29:C30"/>
    <mergeCell ref="D29:D30"/>
    <mergeCell ref="E29:E30"/>
    <mergeCell ref="D54:D55"/>
    <mergeCell ref="E54:E55"/>
    <mergeCell ref="F54:F55"/>
    <mergeCell ref="G54:G55"/>
    <mergeCell ref="H54:H55"/>
    <mergeCell ref="I54:I55"/>
    <mergeCell ref="A49:A50"/>
    <mergeCell ref="A51:A52"/>
    <mergeCell ref="I49:I50"/>
    <mergeCell ref="J54:J55"/>
    <mergeCell ref="K54:K55"/>
    <mergeCell ref="L54:L55"/>
    <mergeCell ref="M54:M55"/>
    <mergeCell ref="N54:N55"/>
    <mergeCell ref="O54:O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A54:A55"/>
    <mergeCell ref="B54:B55"/>
    <mergeCell ref="C54:C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699D-0258-40FB-9211-56A7F3F9D35B}">
  <dimension ref="A1:D38"/>
  <sheetViews>
    <sheetView workbookViewId="0">
      <selection sqref="A1:XFD1"/>
    </sheetView>
  </sheetViews>
  <sheetFormatPr defaultRowHeight="14.5" x14ac:dyDescent="0.35"/>
  <cols>
    <col min="1" max="1" width="16.7265625" bestFit="1" customWidth="1"/>
    <col min="2" max="2" width="11.453125" bestFit="1" customWidth="1"/>
    <col min="3" max="3" width="10.81640625" bestFit="1" customWidth="1"/>
  </cols>
  <sheetData>
    <row r="1" spans="1:4" ht="15.5" x14ac:dyDescent="0.35">
      <c r="A1" s="1" t="s">
        <v>0</v>
      </c>
      <c r="B1" s="1" t="s">
        <v>1</v>
      </c>
      <c r="C1" s="1" t="s">
        <v>1</v>
      </c>
      <c r="D1" s="23"/>
    </row>
    <row r="2" spans="1:4" ht="15.5" x14ac:dyDescent="0.35">
      <c r="A2" s="4">
        <v>0.05</v>
      </c>
      <c r="B2" s="17">
        <v>4.973E-3</v>
      </c>
      <c r="C2" s="17">
        <v>4.0299999999999997E-3</v>
      </c>
    </row>
    <row r="3" spans="1:4" ht="15.5" x14ac:dyDescent="0.35">
      <c r="A3" s="3">
        <v>0.1</v>
      </c>
      <c r="B3" s="17">
        <v>5.9020000000000001E-3</v>
      </c>
      <c r="C3" s="17">
        <v>5.202E-3</v>
      </c>
    </row>
    <row r="4" spans="1:4" ht="15.5" x14ac:dyDescent="0.35">
      <c r="A4" s="3">
        <v>0.2</v>
      </c>
      <c r="B4" s="17">
        <v>7.8359999999999992E-3</v>
      </c>
      <c r="C4" s="17">
        <v>6.7799999999999996E-3</v>
      </c>
    </row>
    <row r="5" spans="1:4" ht="15.5" x14ac:dyDescent="0.35">
      <c r="A5" s="3">
        <v>0.35</v>
      </c>
      <c r="B5" s="17">
        <v>9.9986999999999993E-3</v>
      </c>
      <c r="C5" s="17">
        <v>8.8900000000000003E-3</v>
      </c>
    </row>
    <row r="6" spans="1:4" ht="15.5" x14ac:dyDescent="0.35">
      <c r="A6" s="3">
        <v>0.7</v>
      </c>
      <c r="B6" s="17">
        <v>1.4E-2</v>
      </c>
      <c r="C6" s="17">
        <v>1.24E-2</v>
      </c>
    </row>
    <row r="7" spans="1:4" ht="15.5" x14ac:dyDescent="0.35">
      <c r="A7" s="3">
        <v>1</v>
      </c>
      <c r="B7" s="17">
        <v>1.77E-2</v>
      </c>
      <c r="C7" s="17">
        <v>1.5900000000000001E-2</v>
      </c>
    </row>
    <row r="8" spans="1:4" ht="15.5" x14ac:dyDescent="0.35">
      <c r="A8" s="3">
        <v>2</v>
      </c>
      <c r="B8" s="17">
        <v>2.6499999999999999E-2</v>
      </c>
      <c r="C8" s="17">
        <v>2.4299999999999999E-2</v>
      </c>
    </row>
    <row r="9" spans="1:4" ht="15.5" x14ac:dyDescent="0.35">
      <c r="A9" s="3">
        <v>3.5</v>
      </c>
      <c r="B9" s="17">
        <v>3.7900000000000003E-2</v>
      </c>
      <c r="C9" s="17">
        <v>3.44E-2</v>
      </c>
    </row>
    <row r="10" spans="1:4" ht="15.5" x14ac:dyDescent="0.35">
      <c r="A10" s="3">
        <v>7</v>
      </c>
      <c r="B10" s="17">
        <v>5.8900000000000001E-2</v>
      </c>
      <c r="C10" s="17">
        <v>5.2999999999999999E-2</v>
      </c>
    </row>
    <row r="11" spans="1:4" ht="15.5" x14ac:dyDescent="0.35">
      <c r="A11" s="3">
        <v>10</v>
      </c>
      <c r="B11" s="17">
        <v>7.2700000000000001E-2</v>
      </c>
      <c r="C11" s="17">
        <v>6.7299999999999999E-2</v>
      </c>
    </row>
    <row r="12" spans="1:4" ht="15.5" x14ac:dyDescent="0.35">
      <c r="A12" s="3">
        <v>20</v>
      </c>
      <c r="B12" s="17">
        <v>0.11899999999999999</v>
      </c>
      <c r="C12" s="17">
        <v>0.113</v>
      </c>
    </row>
    <row r="13" spans="1:4" ht="15.5" x14ac:dyDescent="0.35">
      <c r="A13" s="3">
        <v>35</v>
      </c>
      <c r="B13" s="17">
        <v>0.18149999999999999</v>
      </c>
      <c r="C13" s="17">
        <v>0.17299999999999999</v>
      </c>
    </row>
    <row r="14" spans="1:4" ht="15.5" x14ac:dyDescent="0.35">
      <c r="A14" s="3">
        <v>70</v>
      </c>
      <c r="B14" s="17">
        <v>0.31040000000000001</v>
      </c>
      <c r="C14" s="17">
        <v>0.29699999999999999</v>
      </c>
    </row>
    <row r="15" spans="1:4" ht="15.5" x14ac:dyDescent="0.35">
      <c r="A15" s="3">
        <v>100</v>
      </c>
      <c r="B15" s="17">
        <v>0.41449999999999998</v>
      </c>
      <c r="C15" s="17">
        <v>0.39700000000000002</v>
      </c>
    </row>
    <row r="16" spans="1:4" ht="15.5" x14ac:dyDescent="0.35">
      <c r="A16" s="3">
        <v>200</v>
      </c>
      <c r="B16" s="17">
        <v>0.74980000000000002</v>
      </c>
      <c r="C16" s="17">
        <v>0.71399999999999997</v>
      </c>
    </row>
    <row r="17" spans="1:4" ht="15.5" x14ac:dyDescent="0.35">
      <c r="A17" s="3">
        <v>350</v>
      </c>
      <c r="B17" s="17">
        <v>1.2528999999999999</v>
      </c>
      <c r="C17" s="17">
        <v>1.216</v>
      </c>
    </row>
    <row r="18" spans="1:4" ht="15.5" x14ac:dyDescent="0.35">
      <c r="A18" s="3">
        <v>700</v>
      </c>
      <c r="B18" s="17">
        <v>2.6949999999999998</v>
      </c>
      <c r="C18" s="17">
        <v>2.6269999999999998</v>
      </c>
    </row>
    <row r="19" spans="1:4" ht="15.5" x14ac:dyDescent="0.35">
      <c r="B19" s="11"/>
      <c r="C19" s="11"/>
    </row>
    <row r="20" spans="1:4" ht="15.5" x14ac:dyDescent="0.35">
      <c r="A20" s="5" t="s">
        <v>0</v>
      </c>
      <c r="B20" s="1" t="s">
        <v>2</v>
      </c>
      <c r="C20" s="24" t="s">
        <v>2</v>
      </c>
      <c r="D20" s="33" t="s">
        <v>46</v>
      </c>
    </row>
    <row r="21" spans="1:4" ht="15.5" x14ac:dyDescent="0.35">
      <c r="A21" s="2">
        <v>0.05</v>
      </c>
      <c r="B21" s="18">
        <f>B2/A21</f>
        <v>9.9459999999999993E-2</v>
      </c>
      <c r="C21" s="25">
        <f>C2/A21</f>
        <v>8.0599999999999991E-2</v>
      </c>
      <c r="D21" s="27">
        <f>(C21-B21)/C21*100</f>
        <v>-23.399503722084372</v>
      </c>
    </row>
    <row r="22" spans="1:4" ht="15.5" x14ac:dyDescent="0.35">
      <c r="A22" s="3">
        <v>0.1</v>
      </c>
      <c r="B22" s="18">
        <f t="shared" ref="B22:B37" si="0">B3/A22</f>
        <v>5.9019999999999996E-2</v>
      </c>
      <c r="C22" s="25">
        <f t="shared" ref="C22:C37" si="1">C3/A22</f>
        <v>5.2019999999999997E-2</v>
      </c>
      <c r="D22" s="27">
        <f t="shared" ref="D22:D37" si="2">(C22-B22)/C22*100</f>
        <v>-13.456362937331795</v>
      </c>
    </row>
    <row r="23" spans="1:4" ht="15.5" x14ac:dyDescent="0.35">
      <c r="A23" s="3">
        <v>0.2</v>
      </c>
      <c r="B23" s="18">
        <f t="shared" si="0"/>
        <v>3.9179999999999993E-2</v>
      </c>
      <c r="C23" s="25">
        <f t="shared" si="1"/>
        <v>3.3899999999999993E-2</v>
      </c>
      <c r="D23" s="27">
        <f t="shared" si="2"/>
        <v>-15.575221238938056</v>
      </c>
    </row>
    <row r="24" spans="1:4" ht="15.5" x14ac:dyDescent="0.35">
      <c r="A24" s="3">
        <v>0.35</v>
      </c>
      <c r="B24" s="18">
        <f t="shared" si="0"/>
        <v>2.8567714285714287E-2</v>
      </c>
      <c r="C24" s="25">
        <f t="shared" si="1"/>
        <v>2.5400000000000002E-2</v>
      </c>
      <c r="D24" s="27">
        <f t="shared" si="2"/>
        <v>-12.471316085489306</v>
      </c>
    </row>
    <row r="25" spans="1:4" ht="15.5" x14ac:dyDescent="0.35">
      <c r="A25" s="3">
        <v>0.7</v>
      </c>
      <c r="B25" s="18">
        <f t="shared" si="0"/>
        <v>0.02</v>
      </c>
      <c r="C25" s="25">
        <f t="shared" si="1"/>
        <v>1.7714285714285714E-2</v>
      </c>
      <c r="D25" s="27">
        <f t="shared" si="2"/>
        <v>-12.903225806451617</v>
      </c>
    </row>
    <row r="26" spans="1:4" ht="15.5" x14ac:dyDescent="0.35">
      <c r="A26" s="3">
        <v>1</v>
      </c>
      <c r="B26" s="18">
        <f t="shared" si="0"/>
        <v>1.77E-2</v>
      </c>
      <c r="C26" s="25">
        <f t="shared" si="1"/>
        <v>1.5900000000000001E-2</v>
      </c>
      <c r="D26" s="27">
        <f t="shared" si="2"/>
        <v>-11.320754716981128</v>
      </c>
    </row>
    <row r="27" spans="1:4" ht="15.5" x14ac:dyDescent="0.35">
      <c r="A27" s="3">
        <v>2</v>
      </c>
      <c r="B27" s="18">
        <f t="shared" si="0"/>
        <v>1.325E-2</v>
      </c>
      <c r="C27" s="25">
        <f t="shared" si="1"/>
        <v>1.2149999999999999E-2</v>
      </c>
      <c r="D27" s="27">
        <f t="shared" si="2"/>
        <v>-9.0534979423868336</v>
      </c>
    </row>
    <row r="28" spans="1:4" ht="15.5" x14ac:dyDescent="0.35">
      <c r="A28" s="3">
        <v>3.5</v>
      </c>
      <c r="B28" s="18">
        <f t="shared" si="0"/>
        <v>1.0828571428571429E-2</v>
      </c>
      <c r="C28" s="25">
        <f t="shared" si="1"/>
        <v>9.8285714285714278E-3</v>
      </c>
      <c r="D28" s="27">
        <f t="shared" si="2"/>
        <v>-10.174418604651173</v>
      </c>
    </row>
    <row r="29" spans="1:4" ht="15.5" x14ac:dyDescent="0.35">
      <c r="A29" s="3">
        <v>7</v>
      </c>
      <c r="B29" s="18">
        <f t="shared" si="0"/>
        <v>8.4142857142857144E-3</v>
      </c>
      <c r="C29" s="25">
        <f t="shared" si="1"/>
        <v>7.571428571428571E-3</v>
      </c>
      <c r="D29" s="27">
        <f t="shared" si="2"/>
        <v>-11.132075471698123</v>
      </c>
    </row>
    <row r="30" spans="1:4" ht="15.5" x14ac:dyDescent="0.35">
      <c r="A30" s="3">
        <v>10</v>
      </c>
      <c r="B30" s="18">
        <f t="shared" si="0"/>
        <v>7.2700000000000004E-3</v>
      </c>
      <c r="C30" s="25">
        <f t="shared" si="1"/>
        <v>6.7299999999999999E-3</v>
      </c>
      <c r="D30" s="27">
        <f t="shared" si="2"/>
        <v>-8.0237741456166507</v>
      </c>
    </row>
    <row r="31" spans="1:4" ht="15.5" x14ac:dyDescent="0.35">
      <c r="A31" s="3">
        <v>20</v>
      </c>
      <c r="B31" s="18">
        <f t="shared" si="0"/>
        <v>5.9499999999999996E-3</v>
      </c>
      <c r="C31" s="25">
        <f t="shared" si="1"/>
        <v>5.6500000000000005E-3</v>
      </c>
      <c r="D31" s="27">
        <f t="shared" si="2"/>
        <v>-5.3097345132743188</v>
      </c>
    </row>
    <row r="32" spans="1:4" ht="15.5" x14ac:dyDescent="0.35">
      <c r="A32" s="3">
        <v>35</v>
      </c>
      <c r="B32" s="18">
        <f t="shared" si="0"/>
        <v>5.1857142857142857E-3</v>
      </c>
      <c r="C32" s="25">
        <f t="shared" si="1"/>
        <v>4.9428571428571421E-3</v>
      </c>
      <c r="D32" s="27">
        <f t="shared" si="2"/>
        <v>-4.9132947976878771</v>
      </c>
    </row>
    <row r="33" spans="1:4" ht="15.5" x14ac:dyDescent="0.35">
      <c r="A33" s="3">
        <v>70</v>
      </c>
      <c r="B33" s="18">
        <f t="shared" si="0"/>
        <v>4.4342857142857144E-3</v>
      </c>
      <c r="C33" s="25">
        <f t="shared" si="1"/>
        <v>4.2428571428571428E-3</v>
      </c>
      <c r="D33" s="27">
        <f t="shared" si="2"/>
        <v>-4.5117845117845148</v>
      </c>
    </row>
    <row r="34" spans="1:4" ht="15.5" x14ac:dyDescent="0.35">
      <c r="A34" s="3">
        <v>100</v>
      </c>
      <c r="B34" s="18">
        <f t="shared" si="0"/>
        <v>4.1449999999999994E-3</v>
      </c>
      <c r="C34" s="25">
        <f t="shared" si="1"/>
        <v>3.9700000000000004E-3</v>
      </c>
      <c r="D34" s="27">
        <f t="shared" si="2"/>
        <v>-4.408060453400477</v>
      </c>
    </row>
    <row r="35" spans="1:4" ht="15.5" x14ac:dyDescent="0.35">
      <c r="A35" s="3">
        <v>200</v>
      </c>
      <c r="B35" s="18">
        <f t="shared" si="0"/>
        <v>3.7490000000000002E-3</v>
      </c>
      <c r="C35" s="25">
        <f t="shared" si="1"/>
        <v>3.5699999999999998E-3</v>
      </c>
      <c r="D35" s="27">
        <f t="shared" si="2"/>
        <v>-5.0140056022409061</v>
      </c>
    </row>
    <row r="36" spans="1:4" ht="15.5" x14ac:dyDescent="0.35">
      <c r="A36" s="3">
        <v>350</v>
      </c>
      <c r="B36" s="18">
        <f t="shared" si="0"/>
        <v>3.5797142857142855E-3</v>
      </c>
      <c r="C36" s="25">
        <f t="shared" si="1"/>
        <v>3.474285714285714E-3</v>
      </c>
      <c r="D36" s="27">
        <f t="shared" si="2"/>
        <v>-3.0345394736842106</v>
      </c>
    </row>
    <row r="37" spans="1:4" ht="15.5" x14ac:dyDescent="0.35">
      <c r="A37" s="3">
        <v>700</v>
      </c>
      <c r="B37" s="18">
        <f t="shared" si="0"/>
        <v>3.8499999999999997E-3</v>
      </c>
      <c r="C37" s="25">
        <f t="shared" si="1"/>
        <v>3.7528571428571424E-3</v>
      </c>
      <c r="D37" s="27">
        <f t="shared" si="2"/>
        <v>-2.5885039969547048</v>
      </c>
    </row>
    <row r="38" spans="1:4" x14ac:dyDescent="0.35">
      <c r="D38" s="28">
        <f>AVERAGE(D21:D37)</f>
        <v>-9.2523572953327111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2167-0038-4F4A-AEB9-53097E06CDD4}">
  <dimension ref="A1:K38"/>
  <sheetViews>
    <sheetView workbookViewId="0">
      <selection activeCell="B1" sqref="B1:B1048576"/>
    </sheetView>
  </sheetViews>
  <sheetFormatPr defaultRowHeight="14.5" x14ac:dyDescent="0.35"/>
  <cols>
    <col min="1" max="1" width="16.7265625" bestFit="1" customWidth="1"/>
    <col min="2" max="3" width="12.90625" bestFit="1" customWidth="1"/>
  </cols>
  <sheetData>
    <row r="1" spans="1:11" ht="15.5" x14ac:dyDescent="0.35">
      <c r="A1" s="1" t="s">
        <v>0</v>
      </c>
      <c r="B1" s="1" t="s">
        <v>1</v>
      </c>
      <c r="C1" s="20" t="s">
        <v>1</v>
      </c>
      <c r="D1" s="11"/>
      <c r="E1" s="11"/>
      <c r="F1" s="11"/>
      <c r="G1" s="11"/>
      <c r="H1" s="11"/>
      <c r="I1" s="11"/>
      <c r="J1" s="11"/>
      <c r="K1" s="11"/>
    </row>
    <row r="2" spans="1:11" ht="15.5" x14ac:dyDescent="0.35">
      <c r="A2" s="12">
        <v>0.05</v>
      </c>
      <c r="B2" s="16">
        <v>6.1029999999999999E-3</v>
      </c>
      <c r="C2" s="21">
        <v>5.4299999999999999E-3</v>
      </c>
      <c r="D2" s="11"/>
      <c r="E2" s="11"/>
      <c r="F2" s="11"/>
      <c r="G2" s="11"/>
      <c r="H2" s="11"/>
      <c r="I2" s="11"/>
      <c r="J2" s="11"/>
      <c r="K2" s="11"/>
    </row>
    <row r="3" spans="1:11" ht="15.5" x14ac:dyDescent="0.35">
      <c r="A3" s="13">
        <v>0.1</v>
      </c>
      <c r="B3" s="16">
        <v>7.8899999999999994E-3</v>
      </c>
      <c r="C3" s="21">
        <v>7.45E-3</v>
      </c>
      <c r="D3" s="11"/>
      <c r="E3" s="11"/>
      <c r="F3" s="11"/>
      <c r="G3" s="11"/>
      <c r="H3" s="11" t="s">
        <v>37</v>
      </c>
      <c r="I3" s="11"/>
      <c r="J3" s="11"/>
      <c r="K3" s="11"/>
    </row>
    <row r="4" spans="1:11" ht="15.5" x14ac:dyDescent="0.35">
      <c r="A4" s="13">
        <v>0.2</v>
      </c>
      <c r="B4" s="16">
        <v>8.6E-3</v>
      </c>
      <c r="C4" s="21">
        <v>1.09E-2</v>
      </c>
      <c r="D4" s="11"/>
      <c r="E4" s="11"/>
      <c r="F4" s="11"/>
      <c r="G4" s="11"/>
      <c r="H4" s="11"/>
      <c r="I4" s="11"/>
      <c r="J4" s="11"/>
      <c r="K4" s="11"/>
    </row>
    <row r="5" spans="1:11" ht="15.5" x14ac:dyDescent="0.35">
      <c r="A5" s="13">
        <v>0.35</v>
      </c>
      <c r="B5" s="16">
        <v>1.21E-2</v>
      </c>
      <c r="C5" s="21">
        <v>1.1900000000000001E-2</v>
      </c>
      <c r="D5" s="11"/>
      <c r="E5" s="11"/>
      <c r="F5" s="11"/>
      <c r="G5" s="11"/>
      <c r="H5" s="11"/>
      <c r="I5" s="11"/>
      <c r="J5" s="11"/>
      <c r="K5" s="11"/>
    </row>
    <row r="6" spans="1:11" ht="15.5" x14ac:dyDescent="0.35">
      <c r="A6" s="13">
        <v>0.7</v>
      </c>
      <c r="B6" s="16">
        <v>1.6500000000000001E-2</v>
      </c>
      <c r="C6" s="21">
        <v>1.7399999999999999E-2</v>
      </c>
      <c r="D6" s="11"/>
      <c r="E6" s="11"/>
      <c r="F6" s="11"/>
      <c r="G6" s="11"/>
      <c r="H6" s="11"/>
      <c r="I6" s="11"/>
      <c r="J6" s="11"/>
      <c r="K6" s="11"/>
    </row>
    <row r="7" spans="1:11" ht="15.5" x14ac:dyDescent="0.35">
      <c r="A7" s="13">
        <v>1</v>
      </c>
      <c r="B7" s="16">
        <v>2.0299999999999999E-2</v>
      </c>
      <c r="C7" s="21">
        <v>2.0899999999999998E-2</v>
      </c>
      <c r="D7" s="11"/>
      <c r="E7" s="11"/>
      <c r="F7" s="11"/>
      <c r="G7" s="11"/>
      <c r="H7" s="11"/>
      <c r="I7" s="11"/>
      <c r="J7" s="11"/>
      <c r="K7" s="11"/>
    </row>
    <row r="8" spans="1:11" ht="15.5" x14ac:dyDescent="0.35">
      <c r="A8" s="13">
        <v>2</v>
      </c>
      <c r="B8" s="16">
        <v>3.15E-2</v>
      </c>
      <c r="C8" s="21">
        <v>3.0599999999999999E-2</v>
      </c>
      <c r="D8" s="11"/>
      <c r="E8" s="11"/>
      <c r="F8" s="11"/>
      <c r="G8" s="11"/>
      <c r="H8" s="11"/>
      <c r="I8" s="11"/>
      <c r="J8" s="11"/>
      <c r="K8" s="11"/>
    </row>
    <row r="9" spans="1:11" ht="15.5" x14ac:dyDescent="0.35">
      <c r="A9" s="13">
        <v>3.5</v>
      </c>
      <c r="B9" s="16">
        <v>4.1399999999999999E-2</v>
      </c>
      <c r="C9" s="21">
        <v>4.0899999999999999E-2</v>
      </c>
      <c r="D9" s="11"/>
      <c r="E9" s="11"/>
      <c r="F9" s="11"/>
      <c r="G9" s="11"/>
      <c r="H9" s="11"/>
      <c r="I9" s="11"/>
      <c r="J9" s="11"/>
      <c r="K9" s="11"/>
    </row>
    <row r="10" spans="1:11" ht="15.5" x14ac:dyDescent="0.35">
      <c r="A10" s="13">
        <v>7</v>
      </c>
      <c r="B10" s="16">
        <v>6.4600000000000005E-2</v>
      </c>
      <c r="C10" s="21">
        <v>6.4500000000000002E-2</v>
      </c>
      <c r="D10" s="11"/>
      <c r="E10" s="11"/>
      <c r="F10" s="11"/>
      <c r="G10" s="11"/>
      <c r="H10" s="11"/>
      <c r="I10" s="11"/>
      <c r="J10" s="11"/>
      <c r="K10" s="11"/>
    </row>
    <row r="11" spans="1:11" ht="15.5" x14ac:dyDescent="0.35">
      <c r="A11" s="13">
        <v>10</v>
      </c>
      <c r="B11" s="16">
        <v>8.1199999999999994E-2</v>
      </c>
      <c r="C11" s="21">
        <v>8.1699999999999995E-2</v>
      </c>
      <c r="D11" s="11"/>
      <c r="E11" s="11"/>
      <c r="F11" s="11"/>
      <c r="G11" s="11"/>
      <c r="H11" s="11"/>
      <c r="I11" s="11"/>
      <c r="J11" s="11"/>
      <c r="K11" s="11"/>
    </row>
    <row r="12" spans="1:11" ht="15.5" x14ac:dyDescent="0.35">
      <c r="A12" s="13">
        <v>20</v>
      </c>
      <c r="B12" s="16">
        <v>0.13100000000000001</v>
      </c>
      <c r="C12" s="21">
        <v>0.13200000000000001</v>
      </c>
      <c r="D12" s="11"/>
      <c r="E12" s="11"/>
      <c r="F12" s="11"/>
      <c r="G12" s="11"/>
      <c r="H12" s="11"/>
      <c r="I12" s="11"/>
      <c r="J12" s="11"/>
      <c r="K12" s="11"/>
    </row>
    <row r="13" spans="1:11" ht="15.5" x14ac:dyDescent="0.35">
      <c r="A13" s="13">
        <v>35</v>
      </c>
      <c r="B13" s="16">
        <v>0.19700000000000001</v>
      </c>
      <c r="C13" s="21">
        <v>0.19900000000000001</v>
      </c>
      <c r="D13" s="11"/>
      <c r="E13" s="11"/>
      <c r="F13" s="11"/>
      <c r="G13" s="11"/>
      <c r="H13" s="11"/>
      <c r="I13" s="11"/>
      <c r="J13" s="11"/>
      <c r="K13" s="11"/>
    </row>
    <row r="14" spans="1:11" ht="15.5" x14ac:dyDescent="0.35">
      <c r="A14" s="13">
        <v>70</v>
      </c>
      <c r="B14" s="16">
        <v>0.33300000000000002</v>
      </c>
      <c r="C14" s="21">
        <v>0.33900000000000002</v>
      </c>
      <c r="D14" s="11"/>
      <c r="E14" s="11"/>
      <c r="F14" s="11"/>
      <c r="G14" s="11"/>
      <c r="H14" s="11"/>
      <c r="I14" s="11"/>
      <c r="J14" s="11"/>
      <c r="K14" s="11"/>
    </row>
    <row r="15" spans="1:11" ht="15.5" x14ac:dyDescent="0.35">
      <c r="A15" s="13">
        <v>100</v>
      </c>
      <c r="B15" s="16">
        <v>0.45050000000000001</v>
      </c>
      <c r="C15" s="21">
        <v>0.45290000000000002</v>
      </c>
      <c r="D15" s="11"/>
      <c r="E15" s="11"/>
      <c r="F15" s="11"/>
      <c r="G15" s="11"/>
      <c r="H15" s="11"/>
      <c r="I15" s="11"/>
      <c r="J15" s="11"/>
      <c r="K15" s="11"/>
    </row>
    <row r="16" spans="1:11" ht="15.5" x14ac:dyDescent="0.35">
      <c r="A16" s="13">
        <v>200</v>
      </c>
      <c r="B16" s="16">
        <v>0.81599999999999995</v>
      </c>
      <c r="C16" s="21">
        <v>0.81599999999999995</v>
      </c>
      <c r="D16" s="11"/>
      <c r="E16" s="11"/>
      <c r="F16" s="11"/>
      <c r="G16" s="11"/>
      <c r="H16" s="11"/>
      <c r="I16" s="11"/>
      <c r="J16" s="11"/>
      <c r="K16" s="11"/>
    </row>
    <row r="17" spans="1:10" ht="15.5" x14ac:dyDescent="0.35">
      <c r="A17" s="13">
        <v>350</v>
      </c>
      <c r="B17" s="16">
        <v>1.39</v>
      </c>
      <c r="C17" s="21">
        <v>1.36</v>
      </c>
      <c r="D17" s="11"/>
      <c r="E17" s="11"/>
      <c r="F17" s="11"/>
      <c r="G17" s="11"/>
      <c r="H17" s="11"/>
      <c r="I17" s="11"/>
      <c r="J17" s="11"/>
    </row>
    <row r="18" spans="1:10" ht="15.5" x14ac:dyDescent="0.35">
      <c r="A18" s="13">
        <v>700</v>
      </c>
      <c r="B18" s="16">
        <v>2.71</v>
      </c>
      <c r="C18" s="21">
        <v>2.69</v>
      </c>
      <c r="D18" s="11"/>
      <c r="E18" s="11"/>
      <c r="F18" s="11"/>
      <c r="G18" s="11"/>
      <c r="H18" s="11"/>
      <c r="I18" s="11"/>
      <c r="J18" s="11"/>
    </row>
    <row r="19" spans="1:10" ht="15.5" x14ac:dyDescent="0.35">
      <c r="B19" s="10"/>
      <c r="C19" s="11"/>
      <c r="D19" s="11"/>
      <c r="E19" s="11"/>
      <c r="F19" s="11"/>
      <c r="G19" s="11"/>
      <c r="H19" s="11"/>
      <c r="I19" s="11"/>
      <c r="J19" s="11"/>
    </row>
    <row r="20" spans="1:10" ht="15.5" x14ac:dyDescent="0.35">
      <c r="A20" s="14" t="s">
        <v>0</v>
      </c>
      <c r="B20" s="1" t="s">
        <v>36</v>
      </c>
      <c r="C20" s="29" t="s">
        <v>36</v>
      </c>
      <c r="D20" s="26" t="s">
        <v>46</v>
      </c>
      <c r="E20" s="11"/>
      <c r="F20" s="11"/>
      <c r="G20" s="11"/>
      <c r="H20" s="11"/>
      <c r="I20" s="11"/>
      <c r="J20" s="11"/>
    </row>
    <row r="21" spans="1:10" ht="15.5" x14ac:dyDescent="0.35">
      <c r="A21" s="15">
        <v>0.05</v>
      </c>
      <c r="B21" s="16">
        <v>0.12205999999999999</v>
      </c>
      <c r="C21" s="30">
        <f t="shared" ref="C21:C37" si="0">C2/A21</f>
        <v>0.10859999999999999</v>
      </c>
      <c r="D21" s="27">
        <f>(C21-B21)/C21*100</f>
        <v>-12.394106813996318</v>
      </c>
      <c r="E21" s="11"/>
      <c r="F21" s="11"/>
      <c r="G21" s="11"/>
      <c r="H21" s="11"/>
      <c r="I21" s="11"/>
      <c r="J21" s="11"/>
    </row>
    <row r="22" spans="1:10" ht="15.5" x14ac:dyDescent="0.35">
      <c r="A22" s="13">
        <v>0.1</v>
      </c>
      <c r="B22" s="16">
        <v>7.8899999999999984E-2</v>
      </c>
      <c r="C22" s="30">
        <f t="shared" si="0"/>
        <v>7.4499999999999997E-2</v>
      </c>
      <c r="D22" s="27">
        <f t="shared" ref="D22:D37" si="1">(C22-B22)/C22*100</f>
        <v>-5.9060402684563593</v>
      </c>
      <c r="E22" s="11"/>
      <c r="F22" s="11"/>
      <c r="G22" s="11"/>
      <c r="H22" s="11"/>
      <c r="I22" s="11"/>
      <c r="J22" s="11"/>
    </row>
    <row r="23" spans="1:10" ht="15.5" x14ac:dyDescent="0.35">
      <c r="A23" s="13">
        <v>0.2</v>
      </c>
      <c r="B23" s="16">
        <v>4.2999999999999997E-2</v>
      </c>
      <c r="C23" s="30">
        <f t="shared" si="0"/>
        <v>5.45E-2</v>
      </c>
      <c r="D23" s="27">
        <f t="shared" si="1"/>
        <v>21.100917431192666</v>
      </c>
      <c r="E23" s="11"/>
      <c r="F23" s="11"/>
      <c r="G23" s="11"/>
      <c r="H23" s="11"/>
      <c r="I23" s="11"/>
      <c r="J23" s="11"/>
    </row>
    <row r="24" spans="1:10" ht="15.5" x14ac:dyDescent="0.35">
      <c r="A24" s="13">
        <v>0.35</v>
      </c>
      <c r="B24" s="16">
        <v>3.4571428571428572E-2</v>
      </c>
      <c r="C24" s="30">
        <f t="shared" si="0"/>
        <v>3.4000000000000002E-2</v>
      </c>
      <c r="D24" s="27">
        <f t="shared" si="1"/>
        <v>-1.6806722689075584</v>
      </c>
      <c r="E24" s="11"/>
      <c r="F24" s="11"/>
      <c r="G24" s="11"/>
      <c r="H24" s="11"/>
      <c r="I24" s="11"/>
      <c r="J24" s="11"/>
    </row>
    <row r="25" spans="1:10" ht="15.5" x14ac:dyDescent="0.35">
      <c r="A25" s="13">
        <v>0.7</v>
      </c>
      <c r="B25" s="16">
        <v>2.3571428571428573E-2</v>
      </c>
      <c r="C25" s="30">
        <f t="shared" si="0"/>
        <v>2.4857142857142855E-2</v>
      </c>
      <c r="D25" s="27">
        <f t="shared" si="1"/>
        <v>5.1724137931034351</v>
      </c>
      <c r="E25" s="11"/>
      <c r="F25" s="11"/>
      <c r="G25" s="11"/>
      <c r="H25" s="11"/>
      <c r="I25" s="11"/>
      <c r="J25" s="11"/>
    </row>
    <row r="26" spans="1:10" ht="15.5" x14ac:dyDescent="0.35">
      <c r="A26" s="13">
        <v>1</v>
      </c>
      <c r="B26" s="16">
        <v>2.0299999999999999E-2</v>
      </c>
      <c r="C26" s="30">
        <f t="shared" si="0"/>
        <v>2.0899999999999998E-2</v>
      </c>
      <c r="D26" s="27">
        <f t="shared" si="1"/>
        <v>2.870813397129186</v>
      </c>
      <c r="E26" s="11"/>
      <c r="F26" s="11"/>
      <c r="G26" s="11"/>
      <c r="H26" s="11"/>
      <c r="I26" s="11"/>
      <c r="J26" s="11"/>
    </row>
    <row r="27" spans="1:10" ht="15.5" x14ac:dyDescent="0.35">
      <c r="A27" s="13">
        <v>2</v>
      </c>
      <c r="B27" s="16">
        <v>1.575E-2</v>
      </c>
      <c r="C27" s="30">
        <f t="shared" si="0"/>
        <v>1.5299999999999999E-2</v>
      </c>
      <c r="D27" s="27">
        <f t="shared" si="1"/>
        <v>-2.9411764705882404</v>
      </c>
      <c r="E27" s="11"/>
      <c r="F27" s="11"/>
      <c r="G27" s="11"/>
      <c r="H27" s="11"/>
      <c r="I27" s="11"/>
      <c r="J27" s="11"/>
    </row>
    <row r="28" spans="1:10" ht="15.5" x14ac:dyDescent="0.35">
      <c r="A28" s="13">
        <v>3.5</v>
      </c>
      <c r="B28" s="16">
        <v>1.1828571428571428E-2</v>
      </c>
      <c r="C28" s="30">
        <f t="shared" si="0"/>
        <v>1.1685714285714285E-2</v>
      </c>
      <c r="D28" s="27">
        <f t="shared" si="1"/>
        <v>-1.2224938875305593</v>
      </c>
      <c r="E28" s="11"/>
      <c r="F28" s="11"/>
      <c r="G28" s="11"/>
      <c r="H28" s="11"/>
      <c r="I28" s="11"/>
      <c r="J28" s="11"/>
    </row>
    <row r="29" spans="1:10" ht="15.5" x14ac:dyDescent="0.35">
      <c r="A29" s="13">
        <v>7</v>
      </c>
      <c r="B29" s="16">
        <v>9.2285714285714297E-3</v>
      </c>
      <c r="C29" s="30">
        <f t="shared" si="0"/>
        <v>9.2142857142857148E-3</v>
      </c>
      <c r="D29" s="27">
        <f t="shared" si="1"/>
        <v>-0.15503875968992961</v>
      </c>
      <c r="E29" s="11"/>
      <c r="F29" s="11"/>
      <c r="G29" s="11"/>
      <c r="H29" s="11"/>
      <c r="I29" s="11"/>
      <c r="J29" s="11"/>
    </row>
    <row r="30" spans="1:10" ht="15.5" x14ac:dyDescent="0.35">
      <c r="A30" s="13">
        <v>10</v>
      </c>
      <c r="B30" s="16">
        <v>8.1199999999999987E-3</v>
      </c>
      <c r="C30" s="30">
        <f t="shared" si="0"/>
        <v>8.1700000000000002E-3</v>
      </c>
      <c r="D30" s="27">
        <f t="shared" si="1"/>
        <v>0.61199510403918522</v>
      </c>
      <c r="E30" s="11"/>
      <c r="F30" s="11"/>
      <c r="G30" s="11"/>
      <c r="H30" s="11"/>
      <c r="I30" s="11"/>
      <c r="J30" s="11"/>
    </row>
    <row r="31" spans="1:10" ht="15.5" x14ac:dyDescent="0.35">
      <c r="A31" s="13">
        <v>20</v>
      </c>
      <c r="B31" s="16">
        <v>6.5500000000000003E-3</v>
      </c>
      <c r="C31" s="30">
        <f t="shared" si="0"/>
        <v>6.6E-3</v>
      </c>
      <c r="D31" s="27">
        <f t="shared" si="1"/>
        <v>0.75757575757575302</v>
      </c>
      <c r="E31" s="11"/>
      <c r="F31" s="11"/>
      <c r="G31" s="11"/>
      <c r="H31" s="11"/>
      <c r="I31" s="11"/>
      <c r="J31" s="11"/>
    </row>
    <row r="32" spans="1:10" ht="15.5" x14ac:dyDescent="0.35">
      <c r="A32" s="13">
        <v>35</v>
      </c>
      <c r="B32" s="16">
        <v>5.628571428571429E-3</v>
      </c>
      <c r="C32" s="30">
        <f t="shared" si="0"/>
        <v>5.6857142857142861E-3</v>
      </c>
      <c r="D32" s="27">
        <f t="shared" si="1"/>
        <v>1.0050251256281411</v>
      </c>
      <c r="E32" s="11"/>
      <c r="F32" s="11"/>
      <c r="G32" s="11"/>
      <c r="H32" s="11"/>
      <c r="I32" s="11"/>
      <c r="J32" s="11"/>
    </row>
    <row r="33" spans="1:10" ht="15.5" x14ac:dyDescent="0.35">
      <c r="A33" s="13">
        <v>70</v>
      </c>
      <c r="B33" s="16">
        <v>4.7571428571428574E-3</v>
      </c>
      <c r="C33" s="30">
        <f t="shared" si="0"/>
        <v>4.8428571428571435E-3</v>
      </c>
      <c r="D33" s="27">
        <f t="shared" si="1"/>
        <v>1.7699115044247882</v>
      </c>
      <c r="E33" s="11"/>
      <c r="F33" s="11"/>
      <c r="G33" s="11"/>
      <c r="H33" s="11"/>
      <c r="I33" s="11"/>
      <c r="J33" s="11"/>
    </row>
    <row r="34" spans="1:10" ht="15.5" x14ac:dyDescent="0.35">
      <c r="A34" s="13">
        <v>100</v>
      </c>
      <c r="B34" s="16">
        <v>4.5050000000000003E-3</v>
      </c>
      <c r="C34" s="30">
        <f t="shared" si="0"/>
        <v>4.529E-3</v>
      </c>
      <c r="D34" s="27">
        <f t="shared" si="1"/>
        <v>0.52991830426142006</v>
      </c>
      <c r="E34" s="11"/>
      <c r="F34" s="11"/>
      <c r="G34" s="11"/>
      <c r="H34" s="11"/>
      <c r="I34" s="11"/>
      <c r="J34" s="11"/>
    </row>
    <row r="35" spans="1:10" ht="15.5" x14ac:dyDescent="0.35">
      <c r="A35" s="13">
        <v>200</v>
      </c>
      <c r="B35" s="16">
        <v>4.0799999999999994E-3</v>
      </c>
      <c r="C35" s="30">
        <f t="shared" si="0"/>
        <v>4.0799999999999994E-3</v>
      </c>
      <c r="D35" s="27">
        <f t="shared" si="1"/>
        <v>0</v>
      </c>
      <c r="E35" s="11"/>
      <c r="F35" s="11"/>
      <c r="G35" s="11"/>
      <c r="H35" s="11"/>
      <c r="I35" s="11"/>
      <c r="J35" s="11"/>
    </row>
    <row r="36" spans="1:10" ht="15.5" x14ac:dyDescent="0.35">
      <c r="A36" s="13">
        <v>350</v>
      </c>
      <c r="B36" s="16">
        <v>4.5142857142857146E-3</v>
      </c>
      <c r="C36" s="30">
        <f t="shared" si="0"/>
        <v>3.8857142857142862E-3</v>
      </c>
      <c r="D36" s="27">
        <f t="shared" si="1"/>
        <v>-16.17647058823529</v>
      </c>
      <c r="E36" s="11"/>
      <c r="F36" s="11"/>
      <c r="G36" s="11"/>
      <c r="H36" s="11"/>
      <c r="I36" s="11"/>
      <c r="J36" s="11"/>
    </row>
    <row r="37" spans="1:10" ht="15.5" x14ac:dyDescent="0.35">
      <c r="A37" s="13">
        <v>700</v>
      </c>
      <c r="B37" s="16">
        <v>4.2428571428571428E-3</v>
      </c>
      <c r="C37" s="30">
        <f t="shared" si="0"/>
        <v>3.8428571428571427E-3</v>
      </c>
      <c r="D37" s="27">
        <f t="shared" si="1"/>
        <v>-10.408921933085507</v>
      </c>
      <c r="E37" s="11"/>
      <c r="F37" s="11"/>
      <c r="G37" s="11"/>
      <c r="H37" s="11"/>
      <c r="I37" s="11"/>
      <c r="J37" s="11"/>
    </row>
    <row r="38" spans="1:10" x14ac:dyDescent="0.35">
      <c r="D38" s="28">
        <f>AVERAGE(D21:D37)</f>
        <v>-1.0039029748903052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E6D0-1F73-4314-97E7-B0A2A038E0CD}">
  <dimension ref="A1:K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2" width="12.90625" bestFit="1" customWidth="1"/>
    <col min="3" max="3" width="10.81640625" bestFit="1" customWidth="1"/>
  </cols>
  <sheetData>
    <row r="1" spans="1:11" ht="15.5" x14ac:dyDescent="0.35">
      <c r="A1" s="1" t="s">
        <v>0</v>
      </c>
      <c r="B1" s="1" t="s">
        <v>1</v>
      </c>
      <c r="C1" s="20" t="s">
        <v>1</v>
      </c>
    </row>
    <row r="2" spans="1:11" ht="15.5" x14ac:dyDescent="0.35">
      <c r="A2" s="12">
        <v>0.05</v>
      </c>
      <c r="B2" s="10">
        <v>5.2900000000000004E-3</v>
      </c>
      <c r="C2" s="10">
        <v>5.2599999999999999E-3</v>
      </c>
      <c r="D2" s="11"/>
      <c r="E2" s="11"/>
      <c r="F2" s="11"/>
      <c r="G2" s="11"/>
      <c r="H2" s="11"/>
      <c r="I2" s="11"/>
      <c r="J2" s="11"/>
      <c r="K2" s="11"/>
    </row>
    <row r="3" spans="1:11" ht="15.5" x14ac:dyDescent="0.35">
      <c r="A3" s="13">
        <v>0.1</v>
      </c>
      <c r="B3" s="10">
        <v>6.77E-3</v>
      </c>
      <c r="C3" s="10">
        <v>7.3899999999999999E-3</v>
      </c>
      <c r="D3" s="11"/>
      <c r="E3" s="11"/>
      <c r="F3" s="11"/>
      <c r="G3" s="11"/>
      <c r="H3" s="11"/>
      <c r="I3" s="11"/>
      <c r="J3" s="11"/>
      <c r="K3" s="11"/>
    </row>
    <row r="4" spans="1:11" ht="15.5" x14ac:dyDescent="0.35">
      <c r="A4" s="13">
        <v>0.2</v>
      </c>
      <c r="B4" s="10">
        <v>8.9499999999999996E-3</v>
      </c>
      <c r="C4" s="10">
        <v>9.7999999999999997E-3</v>
      </c>
      <c r="D4" s="11"/>
      <c r="E4" s="11"/>
      <c r="F4" s="11"/>
      <c r="G4" s="11"/>
      <c r="H4" s="11"/>
      <c r="I4" s="11"/>
      <c r="J4" s="11"/>
      <c r="K4" s="11"/>
    </row>
    <row r="5" spans="1:11" ht="15.5" x14ac:dyDescent="0.35">
      <c r="A5" s="13">
        <v>0.35</v>
      </c>
      <c r="B5" s="10">
        <v>1.1480000000000001E-2</v>
      </c>
      <c r="C5" s="10">
        <v>1.1979999999999999E-2</v>
      </c>
      <c r="D5" s="11"/>
      <c r="E5" s="11"/>
      <c r="F5" s="11"/>
      <c r="G5" s="11"/>
      <c r="H5" s="11"/>
      <c r="I5" s="11"/>
      <c r="J5" s="11"/>
      <c r="K5" s="11"/>
    </row>
    <row r="6" spans="1:11" ht="15.5" x14ac:dyDescent="0.35">
      <c r="A6" s="13">
        <v>0.7</v>
      </c>
      <c r="B6" s="10">
        <v>1.66E-2</v>
      </c>
      <c r="C6" s="10">
        <v>1.7100000000000001E-2</v>
      </c>
      <c r="D6" s="11"/>
      <c r="E6" s="11"/>
      <c r="F6" s="11"/>
      <c r="G6" s="11"/>
      <c r="H6" s="11"/>
      <c r="I6" s="11"/>
      <c r="J6" s="11"/>
      <c r="K6" s="11"/>
    </row>
    <row r="7" spans="1:11" ht="15.5" x14ac:dyDescent="0.35">
      <c r="A7" s="13">
        <v>1</v>
      </c>
      <c r="B7" s="10">
        <v>2.0500000000000001E-2</v>
      </c>
      <c r="C7" s="10">
        <v>2.1000000000000001E-2</v>
      </c>
      <c r="D7" s="11"/>
      <c r="E7" s="11"/>
      <c r="F7" s="11"/>
      <c r="G7" s="11"/>
      <c r="H7" s="11"/>
      <c r="I7" s="11"/>
      <c r="J7" s="11"/>
      <c r="K7" s="11"/>
    </row>
    <row r="8" spans="1:11" ht="15.5" x14ac:dyDescent="0.35">
      <c r="A8" s="13">
        <v>2</v>
      </c>
      <c r="B8" s="10">
        <v>3.0200000000000001E-2</v>
      </c>
      <c r="C8" s="10">
        <v>3.04E-2</v>
      </c>
      <c r="D8" s="11"/>
      <c r="E8" s="11"/>
      <c r="F8" s="11"/>
      <c r="G8" s="11"/>
      <c r="H8" s="11"/>
      <c r="I8" s="11"/>
      <c r="J8" s="11"/>
      <c r="K8" s="11"/>
    </row>
    <row r="9" spans="1:11" ht="15.5" x14ac:dyDescent="0.35">
      <c r="A9" s="13">
        <v>3.5</v>
      </c>
      <c r="B9" s="10">
        <v>4.1300000000000003E-2</v>
      </c>
      <c r="C9" s="10">
        <v>4.2000000000000003E-2</v>
      </c>
      <c r="D9" s="11"/>
      <c r="E9" s="11"/>
      <c r="F9" s="11"/>
      <c r="G9" s="11"/>
      <c r="H9" s="11"/>
      <c r="I9" s="11"/>
      <c r="J9" s="11"/>
      <c r="K9" s="11"/>
    </row>
    <row r="10" spans="1:11" ht="15.5" x14ac:dyDescent="0.35">
      <c r="A10" s="13">
        <v>7</v>
      </c>
      <c r="B10" s="10">
        <v>6.3399999999999998E-2</v>
      </c>
      <c r="C10" s="10">
        <v>6.1400000000000003E-2</v>
      </c>
      <c r="D10" s="11"/>
      <c r="E10" s="11"/>
      <c r="F10" s="11"/>
      <c r="G10" s="11"/>
      <c r="H10" s="11"/>
      <c r="I10" s="11"/>
      <c r="J10" s="11"/>
      <c r="K10" s="11"/>
    </row>
    <row r="11" spans="1:11" ht="15.5" x14ac:dyDescent="0.35">
      <c r="A11" s="13">
        <v>10</v>
      </c>
      <c r="B11" s="10">
        <v>7.9769999999999994E-2</v>
      </c>
      <c r="C11" s="10">
        <v>7.8399999999999997E-2</v>
      </c>
      <c r="D11" s="11"/>
      <c r="E11" s="11"/>
      <c r="F11" s="11"/>
      <c r="G11" s="11"/>
      <c r="H11" s="11"/>
      <c r="I11" s="11"/>
      <c r="J11" s="11"/>
      <c r="K11" s="11"/>
    </row>
    <row r="12" spans="1:11" ht="15.5" x14ac:dyDescent="0.35">
      <c r="A12" s="13">
        <v>20</v>
      </c>
      <c r="B12" s="10">
        <v>0.1318</v>
      </c>
      <c r="C12" s="10">
        <v>0.127</v>
      </c>
      <c r="D12" s="11"/>
      <c r="E12" s="11"/>
      <c r="F12" s="11"/>
      <c r="G12" s="11"/>
      <c r="H12" s="11"/>
      <c r="I12" s="11"/>
      <c r="J12" s="11"/>
      <c r="K12" s="11"/>
    </row>
    <row r="13" spans="1:11" ht="15.5" x14ac:dyDescent="0.35">
      <c r="A13" s="13">
        <v>35</v>
      </c>
      <c r="B13" s="10">
        <v>0.1986</v>
      </c>
      <c r="C13" s="10">
        <v>0.19400000000000001</v>
      </c>
      <c r="D13" s="11"/>
      <c r="E13" s="11"/>
      <c r="F13" s="11"/>
      <c r="G13" s="11"/>
      <c r="H13" s="11"/>
      <c r="I13" s="11"/>
      <c r="J13" s="11"/>
      <c r="K13" s="11"/>
    </row>
    <row r="14" spans="1:11" ht="15.5" x14ac:dyDescent="0.35">
      <c r="A14" s="13">
        <v>70</v>
      </c>
      <c r="B14" s="10">
        <v>0.34050000000000002</v>
      </c>
      <c r="C14" s="10">
        <v>0.33289999999999997</v>
      </c>
      <c r="D14" s="11"/>
      <c r="E14" s="11"/>
      <c r="F14" s="11"/>
      <c r="G14" s="11"/>
      <c r="H14" s="11"/>
      <c r="I14" s="11"/>
      <c r="J14" s="11"/>
      <c r="K14" s="11"/>
    </row>
    <row r="15" spans="1:11" ht="15.5" x14ac:dyDescent="0.35">
      <c r="A15" s="13">
        <v>100</v>
      </c>
      <c r="B15" s="10">
        <v>0.4546</v>
      </c>
      <c r="C15" s="10">
        <v>0.44400000000000001</v>
      </c>
      <c r="D15" s="11"/>
      <c r="E15" s="11"/>
      <c r="F15" s="11"/>
      <c r="G15" s="11"/>
      <c r="H15" s="11"/>
      <c r="I15" s="11"/>
      <c r="J15" s="11"/>
      <c r="K15" s="11"/>
    </row>
    <row r="16" spans="1:11" ht="15.5" x14ac:dyDescent="0.35">
      <c r="A16" s="13">
        <v>200</v>
      </c>
      <c r="B16" s="10">
        <v>0.82540000000000002</v>
      </c>
      <c r="C16" s="10">
        <v>0.81599999999999995</v>
      </c>
      <c r="D16" s="11"/>
      <c r="E16" s="11"/>
      <c r="F16" s="11"/>
      <c r="G16" s="11"/>
      <c r="H16" s="11"/>
      <c r="I16" s="11"/>
      <c r="J16" s="11"/>
      <c r="K16" s="11"/>
    </row>
    <row r="17" spans="1:11" ht="15.5" x14ac:dyDescent="0.35">
      <c r="A17" s="13">
        <v>350</v>
      </c>
      <c r="B17" s="10">
        <v>1.37</v>
      </c>
      <c r="C17" s="10">
        <v>1.3660000000000001</v>
      </c>
      <c r="D17" s="11"/>
      <c r="E17" s="11"/>
      <c r="F17" s="11"/>
      <c r="G17" s="11"/>
      <c r="H17" s="11"/>
      <c r="I17" s="11"/>
      <c r="J17" s="11"/>
      <c r="K17" s="11"/>
    </row>
    <row r="18" spans="1:11" ht="15.5" x14ac:dyDescent="0.35">
      <c r="A18" s="13">
        <v>700</v>
      </c>
      <c r="B18" s="10">
        <v>2.76</v>
      </c>
      <c r="C18" s="10">
        <v>2.76</v>
      </c>
      <c r="D18" s="11"/>
      <c r="E18" s="11"/>
      <c r="F18" s="11"/>
      <c r="G18" s="11"/>
      <c r="H18" s="11"/>
      <c r="I18" s="11"/>
      <c r="J18" s="11"/>
      <c r="K18" s="11"/>
    </row>
    <row r="19" spans="1:11" ht="15.5" x14ac:dyDescent="0.35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5.5" x14ac:dyDescent="0.35">
      <c r="A20" s="14" t="s">
        <v>0</v>
      </c>
      <c r="B20" s="5" t="s">
        <v>36</v>
      </c>
      <c r="C20" s="14" t="s">
        <v>36</v>
      </c>
      <c r="D20" s="26" t="s">
        <v>46</v>
      </c>
      <c r="E20" s="11"/>
      <c r="F20" s="11"/>
      <c r="G20" s="11"/>
      <c r="H20" s="11"/>
      <c r="I20" s="11"/>
      <c r="J20" s="11"/>
      <c r="K20" s="11"/>
    </row>
    <row r="21" spans="1:11" ht="15.5" x14ac:dyDescent="0.35">
      <c r="A21" s="15">
        <v>0.05</v>
      </c>
      <c r="B21" s="10">
        <f>B2/A21</f>
        <v>0.10580000000000001</v>
      </c>
      <c r="C21" s="11">
        <f>C2/A21</f>
        <v>0.10519999999999999</v>
      </c>
      <c r="D21" s="31">
        <f>(C21-B21)/C21*100</f>
        <v>-0.57034220532321034</v>
      </c>
      <c r="E21" s="11"/>
      <c r="F21" s="11"/>
      <c r="G21" s="11"/>
      <c r="H21" s="11"/>
      <c r="I21" s="11"/>
      <c r="J21" s="11"/>
      <c r="K21" s="11"/>
    </row>
    <row r="22" spans="1:11" ht="15.5" x14ac:dyDescent="0.35">
      <c r="A22" s="13">
        <v>0.1</v>
      </c>
      <c r="B22" s="10">
        <f t="shared" ref="B22:B37" si="0">B3/A22</f>
        <v>6.7699999999999996E-2</v>
      </c>
      <c r="C22" s="11">
        <f t="shared" ref="C22:C37" si="1">C3/A22</f>
        <v>7.3899999999999993E-2</v>
      </c>
      <c r="D22" s="31">
        <f t="shared" ref="D22:D37" si="2">(C22-B22)/C22*100</f>
        <v>8.3897158322056793</v>
      </c>
      <c r="E22" s="11"/>
      <c r="F22" s="11"/>
      <c r="G22" s="11"/>
      <c r="H22" s="11"/>
      <c r="I22" s="11"/>
      <c r="J22" s="11"/>
      <c r="K22" s="11"/>
    </row>
    <row r="23" spans="1:11" ht="15.5" x14ac:dyDescent="0.35">
      <c r="A23" s="13">
        <v>0.2</v>
      </c>
      <c r="B23" s="10">
        <f t="shared" si="0"/>
        <v>4.4749999999999998E-2</v>
      </c>
      <c r="C23" s="11">
        <f t="shared" si="1"/>
        <v>4.8999999999999995E-2</v>
      </c>
      <c r="D23" s="31">
        <f t="shared" si="2"/>
        <v>8.6734693877550963</v>
      </c>
      <c r="E23" s="11"/>
      <c r="F23" s="11"/>
      <c r="G23" s="11"/>
      <c r="H23" s="11"/>
      <c r="I23" s="11"/>
      <c r="J23" s="11"/>
      <c r="K23" s="11"/>
    </row>
    <row r="24" spans="1:11" ht="15.5" x14ac:dyDescent="0.35">
      <c r="A24" s="13">
        <v>0.35</v>
      </c>
      <c r="B24" s="10">
        <f t="shared" si="0"/>
        <v>3.2800000000000003E-2</v>
      </c>
      <c r="C24" s="11">
        <f t="shared" si="1"/>
        <v>3.4228571428571428E-2</v>
      </c>
      <c r="D24" s="31">
        <f t="shared" si="2"/>
        <v>4.1736227045075021</v>
      </c>
      <c r="E24" s="11"/>
      <c r="F24" s="11"/>
      <c r="G24" s="11"/>
      <c r="H24" s="11"/>
      <c r="I24" s="11"/>
      <c r="J24" s="11"/>
      <c r="K24" s="11"/>
    </row>
    <row r="25" spans="1:11" ht="15.5" x14ac:dyDescent="0.35">
      <c r="A25" s="13">
        <v>0.7</v>
      </c>
      <c r="B25" s="10">
        <f t="shared" si="0"/>
        <v>2.3714285714285716E-2</v>
      </c>
      <c r="C25" s="11">
        <f t="shared" si="1"/>
        <v>2.4428571428571431E-2</v>
      </c>
      <c r="D25" s="31">
        <f t="shared" si="2"/>
        <v>2.9239766081871408</v>
      </c>
      <c r="E25" s="11"/>
      <c r="F25" s="11"/>
      <c r="G25" s="11"/>
      <c r="H25" s="11"/>
      <c r="I25" s="11"/>
      <c r="J25" s="11"/>
      <c r="K25" s="11"/>
    </row>
    <row r="26" spans="1:11" ht="15.5" x14ac:dyDescent="0.35">
      <c r="A26" s="13">
        <v>1</v>
      </c>
      <c r="B26" s="10">
        <f t="shared" si="0"/>
        <v>2.0500000000000001E-2</v>
      </c>
      <c r="C26" s="11">
        <f t="shared" si="1"/>
        <v>2.1000000000000001E-2</v>
      </c>
      <c r="D26" s="31">
        <f t="shared" si="2"/>
        <v>2.3809523809523827</v>
      </c>
      <c r="E26" s="11"/>
      <c r="F26" s="11"/>
      <c r="G26" s="11"/>
      <c r="H26" s="11"/>
      <c r="I26" s="11"/>
      <c r="J26" s="11"/>
      <c r="K26" s="11"/>
    </row>
    <row r="27" spans="1:11" ht="15.5" x14ac:dyDescent="0.35">
      <c r="A27" s="13">
        <v>2</v>
      </c>
      <c r="B27" s="10">
        <f t="shared" si="0"/>
        <v>1.5100000000000001E-2</v>
      </c>
      <c r="C27" s="11">
        <f t="shared" si="1"/>
        <v>1.52E-2</v>
      </c>
      <c r="D27" s="31">
        <f t="shared" si="2"/>
        <v>0.65789473684210131</v>
      </c>
      <c r="E27" s="11"/>
      <c r="F27" s="11"/>
      <c r="G27" s="11"/>
      <c r="H27" s="11"/>
      <c r="I27" s="11"/>
      <c r="J27" s="11"/>
      <c r="K27" s="11"/>
    </row>
    <row r="28" spans="1:11" ht="15.5" x14ac:dyDescent="0.35">
      <c r="A28" s="13">
        <v>3.5</v>
      </c>
      <c r="B28" s="10">
        <f t="shared" si="0"/>
        <v>1.1800000000000001E-2</v>
      </c>
      <c r="C28" s="11">
        <f t="shared" si="1"/>
        <v>1.2E-2</v>
      </c>
      <c r="D28" s="31">
        <f t="shared" si="2"/>
        <v>1.6666666666666565</v>
      </c>
      <c r="E28" s="11"/>
      <c r="F28" s="11"/>
      <c r="G28" s="11"/>
      <c r="H28" s="11"/>
      <c r="I28" s="11"/>
      <c r="J28" s="11"/>
      <c r="K28" s="11"/>
    </row>
    <row r="29" spans="1:11" ht="15.5" x14ac:dyDescent="0.35">
      <c r="A29" s="13">
        <v>7</v>
      </c>
      <c r="B29" s="10">
        <f t="shared" si="0"/>
        <v>9.0571428571428574E-3</v>
      </c>
      <c r="C29" s="11">
        <f t="shared" si="1"/>
        <v>8.7714285714285724E-3</v>
      </c>
      <c r="D29" s="31">
        <f t="shared" si="2"/>
        <v>-3.2573289902280043</v>
      </c>
      <c r="E29" s="11"/>
      <c r="F29" s="11"/>
      <c r="G29" s="11"/>
      <c r="H29" s="11"/>
      <c r="I29" s="11"/>
      <c r="J29" s="11"/>
      <c r="K29" s="11"/>
    </row>
    <row r="30" spans="1:11" ht="15.5" x14ac:dyDescent="0.35">
      <c r="A30" s="13">
        <v>10</v>
      </c>
      <c r="B30" s="10">
        <f t="shared" si="0"/>
        <v>7.9769999999999997E-3</v>
      </c>
      <c r="C30" s="11">
        <f t="shared" si="1"/>
        <v>7.8399999999999997E-3</v>
      </c>
      <c r="D30" s="31">
        <f t="shared" si="2"/>
        <v>-1.7474489795918364</v>
      </c>
      <c r="E30" s="11"/>
      <c r="F30" s="11"/>
      <c r="G30" s="11"/>
      <c r="H30" s="11"/>
      <c r="I30" s="11"/>
      <c r="J30" s="11"/>
      <c r="K30" s="11"/>
    </row>
    <row r="31" spans="1:11" ht="15.5" x14ac:dyDescent="0.35">
      <c r="A31" s="13">
        <v>20</v>
      </c>
      <c r="B31" s="10">
        <f t="shared" si="0"/>
        <v>6.5900000000000004E-3</v>
      </c>
      <c r="C31" s="11">
        <f t="shared" si="1"/>
        <v>6.3499999999999997E-3</v>
      </c>
      <c r="D31" s="31">
        <f t="shared" si="2"/>
        <v>-3.7795275590551283</v>
      </c>
      <c r="E31" s="11"/>
      <c r="F31" s="11"/>
      <c r="G31" s="11"/>
      <c r="H31" s="11"/>
      <c r="I31" s="11"/>
      <c r="J31" s="11"/>
      <c r="K31" s="11"/>
    </row>
    <row r="32" spans="1:11" ht="15.5" x14ac:dyDescent="0.35">
      <c r="A32" s="13">
        <v>35</v>
      </c>
      <c r="B32" s="10">
        <f t="shared" si="0"/>
        <v>5.6742857142857142E-3</v>
      </c>
      <c r="C32" s="11">
        <f t="shared" si="1"/>
        <v>5.5428571428571428E-3</v>
      </c>
      <c r="D32" s="31">
        <f t="shared" si="2"/>
        <v>-2.3711340206185563</v>
      </c>
      <c r="E32" s="11"/>
      <c r="F32" s="11"/>
      <c r="G32" s="11"/>
      <c r="H32" s="11"/>
      <c r="I32" s="11"/>
      <c r="J32" s="11"/>
      <c r="K32" s="11"/>
    </row>
    <row r="33" spans="1:11" ht="15.5" x14ac:dyDescent="0.35">
      <c r="A33" s="13">
        <v>70</v>
      </c>
      <c r="B33" s="10">
        <f t="shared" si="0"/>
        <v>4.8642857142857142E-3</v>
      </c>
      <c r="C33" s="11">
        <f t="shared" si="1"/>
        <v>4.755714285714285E-3</v>
      </c>
      <c r="D33" s="31">
        <f t="shared" si="2"/>
        <v>-2.2829678582156947</v>
      </c>
      <c r="E33" s="11"/>
      <c r="F33" s="11"/>
      <c r="G33" s="11"/>
      <c r="H33" s="11"/>
      <c r="I33" s="11"/>
      <c r="J33" s="11"/>
      <c r="K33" s="11"/>
    </row>
    <row r="34" spans="1:11" ht="15.5" x14ac:dyDescent="0.35">
      <c r="A34" s="13">
        <v>100</v>
      </c>
      <c r="B34" s="10">
        <f t="shared" si="0"/>
        <v>4.5459999999999997E-3</v>
      </c>
      <c r="C34" s="11">
        <f t="shared" si="1"/>
        <v>4.4400000000000004E-3</v>
      </c>
      <c r="D34" s="31">
        <f t="shared" si="2"/>
        <v>-2.3873873873873719</v>
      </c>
      <c r="E34" s="11"/>
      <c r="F34" s="11"/>
      <c r="G34" s="11"/>
      <c r="H34" s="11"/>
      <c r="I34" s="11"/>
      <c r="J34" s="11"/>
      <c r="K34" s="11"/>
    </row>
    <row r="35" spans="1:11" ht="15.5" x14ac:dyDescent="0.35">
      <c r="A35" s="13">
        <v>200</v>
      </c>
      <c r="B35" s="10">
        <f t="shared" si="0"/>
        <v>4.1270000000000005E-3</v>
      </c>
      <c r="C35" s="11">
        <f t="shared" si="1"/>
        <v>4.0799999999999994E-3</v>
      </c>
      <c r="D35" s="31">
        <f t="shared" si="2"/>
        <v>-1.1519607843137512</v>
      </c>
      <c r="E35" s="11"/>
      <c r="F35" s="11"/>
      <c r="G35" s="11"/>
      <c r="H35" s="11"/>
      <c r="I35" s="11"/>
      <c r="J35" s="11"/>
      <c r="K35" s="11"/>
    </row>
    <row r="36" spans="1:11" ht="15.5" x14ac:dyDescent="0.35">
      <c r="A36" s="13">
        <v>350</v>
      </c>
      <c r="B36" s="10">
        <f t="shared" si="0"/>
        <v>3.9142857142857148E-3</v>
      </c>
      <c r="C36" s="11">
        <f t="shared" si="1"/>
        <v>3.9028571428571432E-3</v>
      </c>
      <c r="D36" s="31">
        <f t="shared" si="2"/>
        <v>-0.29282576866764504</v>
      </c>
      <c r="E36" s="11"/>
      <c r="F36" s="11"/>
      <c r="G36" s="11"/>
      <c r="H36" s="11"/>
      <c r="I36" s="11"/>
      <c r="J36" s="11"/>
      <c r="K36" s="11"/>
    </row>
    <row r="37" spans="1:11" ht="15.5" x14ac:dyDescent="0.35">
      <c r="A37" s="13">
        <v>700</v>
      </c>
      <c r="B37" s="10">
        <f t="shared" si="0"/>
        <v>3.9428571428571429E-3</v>
      </c>
      <c r="C37" s="11">
        <f t="shared" si="1"/>
        <v>3.9428571428571429E-3</v>
      </c>
      <c r="D37" s="31">
        <f t="shared" si="2"/>
        <v>0</v>
      </c>
      <c r="E37" s="11"/>
      <c r="F37" s="11"/>
      <c r="G37" s="11"/>
      <c r="H37" s="11"/>
      <c r="I37" s="11"/>
      <c r="J37" s="11"/>
      <c r="K37" s="11"/>
    </row>
    <row r="38" spans="1:11" ht="15.5" x14ac:dyDescent="0.35">
      <c r="B38" s="11"/>
      <c r="C38" s="11"/>
      <c r="D38" s="32">
        <f>AVERAGE(D21:D37)</f>
        <v>0.64855145668913872</v>
      </c>
      <c r="E38" s="11"/>
      <c r="F38" s="11"/>
      <c r="G38" s="11"/>
      <c r="H38" s="11"/>
      <c r="I38" s="11"/>
      <c r="J38" s="11"/>
      <c r="K38" s="1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0E43-0CC2-4807-9262-13BEE0F90045}">
  <dimension ref="A1:D38"/>
  <sheetViews>
    <sheetView workbookViewId="0">
      <selection sqref="A1:XFD1"/>
    </sheetView>
  </sheetViews>
  <sheetFormatPr defaultRowHeight="14.5" x14ac:dyDescent="0.35"/>
  <cols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 s="22">
        <v>6.4400000000000004E-3</v>
      </c>
      <c r="C2" s="22">
        <v>6.3E-3</v>
      </c>
    </row>
    <row r="3" spans="1:3" ht="15.5" x14ac:dyDescent="0.35">
      <c r="A3" s="13">
        <v>0.1</v>
      </c>
      <c r="B3" s="22">
        <v>9.4699999999999993E-3</v>
      </c>
      <c r="C3" s="22">
        <v>8.5000000000000006E-3</v>
      </c>
    </row>
    <row r="4" spans="1:3" ht="15.5" x14ac:dyDescent="0.35">
      <c r="A4" s="13">
        <v>0.2</v>
      </c>
      <c r="B4" s="22">
        <v>1.38E-2</v>
      </c>
      <c r="C4" s="22">
        <v>1.2E-2</v>
      </c>
    </row>
    <row r="5" spans="1:3" ht="15.5" x14ac:dyDescent="0.35">
      <c r="A5" s="13">
        <v>0.35</v>
      </c>
      <c r="B5" s="22">
        <v>1.55E-2</v>
      </c>
      <c r="C5" s="22">
        <v>1.46E-2</v>
      </c>
    </row>
    <row r="6" spans="1:3" ht="15.5" x14ac:dyDescent="0.35">
      <c r="A6" s="13">
        <v>0.7</v>
      </c>
      <c r="B6" s="22">
        <v>2.1250000000000002E-2</v>
      </c>
      <c r="C6" s="22">
        <v>2.06E-2</v>
      </c>
    </row>
    <row r="7" spans="1:3" ht="15.5" x14ac:dyDescent="0.35">
      <c r="A7" s="13">
        <v>1</v>
      </c>
      <c r="B7" s="22">
        <v>2.7799999999999998E-2</v>
      </c>
      <c r="C7" s="22">
        <v>2.5999999999999999E-2</v>
      </c>
    </row>
    <row r="8" spans="1:3" ht="15.5" x14ac:dyDescent="0.35">
      <c r="A8" s="13">
        <v>2</v>
      </c>
      <c r="B8" s="22">
        <v>3.9143999999999998E-2</v>
      </c>
      <c r="C8" s="22">
        <v>3.6200000000000003E-2</v>
      </c>
    </row>
    <row r="9" spans="1:3" ht="15.5" x14ac:dyDescent="0.35">
      <c r="A9" s="13">
        <v>3.5</v>
      </c>
      <c r="B9" s="22">
        <v>5.1700000000000003E-2</v>
      </c>
      <c r="C9" s="22">
        <v>5.0500000000000003E-2</v>
      </c>
    </row>
    <row r="10" spans="1:3" ht="15.5" x14ac:dyDescent="0.35">
      <c r="A10" s="13">
        <v>7</v>
      </c>
      <c r="B10" s="22">
        <v>7.5899999999999995E-2</v>
      </c>
      <c r="C10" s="22">
        <v>7.0999999999999994E-2</v>
      </c>
    </row>
    <row r="11" spans="1:3" ht="15.5" x14ac:dyDescent="0.35">
      <c r="A11" s="13">
        <v>10</v>
      </c>
      <c r="B11" s="22">
        <v>9.4799999999999995E-2</v>
      </c>
      <c r="C11" s="22">
        <v>8.7999999999999995E-2</v>
      </c>
    </row>
    <row r="12" spans="1:3" ht="15.5" x14ac:dyDescent="0.35">
      <c r="A12" s="13">
        <v>20</v>
      </c>
      <c r="B12" s="22">
        <v>0.15</v>
      </c>
      <c r="C12" s="22">
        <v>0.14000000000000001</v>
      </c>
    </row>
    <row r="13" spans="1:3" ht="15.5" x14ac:dyDescent="0.35">
      <c r="A13" s="13">
        <v>35</v>
      </c>
      <c r="B13" s="22">
        <v>0.22366</v>
      </c>
      <c r="C13" s="22">
        <v>0.20899999999999999</v>
      </c>
    </row>
    <row r="14" spans="1:3" ht="15.5" x14ac:dyDescent="0.35">
      <c r="A14" s="13">
        <v>70</v>
      </c>
      <c r="B14" s="22">
        <v>0.376</v>
      </c>
      <c r="C14" s="22">
        <v>0.35399999999999998</v>
      </c>
    </row>
    <row r="15" spans="1:3" ht="15.5" x14ac:dyDescent="0.35">
      <c r="A15" s="13">
        <v>100</v>
      </c>
      <c r="B15" s="22">
        <v>0.504</v>
      </c>
      <c r="C15" s="22">
        <v>0.47099999999999997</v>
      </c>
    </row>
    <row r="16" spans="1:3" ht="15.5" x14ac:dyDescent="0.35">
      <c r="A16" s="13">
        <v>200</v>
      </c>
      <c r="B16" s="22">
        <v>0.92500000000000004</v>
      </c>
      <c r="C16" s="22">
        <v>0.86199999999999999</v>
      </c>
    </row>
    <row r="17" spans="1:4" ht="15.5" x14ac:dyDescent="0.35">
      <c r="A17" s="13">
        <v>350</v>
      </c>
      <c r="B17" s="22">
        <v>1.54</v>
      </c>
      <c r="C17" s="22">
        <v>1.44</v>
      </c>
    </row>
    <row r="18" spans="1:4" ht="15.5" x14ac:dyDescent="0.35">
      <c r="A18" s="13">
        <v>700</v>
      </c>
      <c r="B18" s="22">
        <v>3.0219999999999998</v>
      </c>
      <c r="C18" s="22">
        <v>2.85</v>
      </c>
    </row>
    <row r="20" spans="1:4" ht="15.5" x14ac:dyDescent="0.35">
      <c r="A20" s="14" t="s">
        <v>0</v>
      </c>
      <c r="B20" s="5" t="s">
        <v>36</v>
      </c>
      <c r="C20" s="14" t="s">
        <v>36</v>
      </c>
      <c r="D20" s="32" t="s">
        <v>46</v>
      </c>
    </row>
    <row r="21" spans="1:4" ht="15.5" x14ac:dyDescent="0.35">
      <c r="A21" s="12">
        <v>0.05</v>
      </c>
      <c r="B21" s="22">
        <f>B2/A21</f>
        <v>0.1288</v>
      </c>
      <c r="C21" s="22">
        <f>C2/A21</f>
        <v>0.126</v>
      </c>
      <c r="D21" s="27">
        <f>(C21-B21)/C21*100</f>
        <v>-2.2222222222222197</v>
      </c>
    </row>
    <row r="22" spans="1:4" ht="15.5" x14ac:dyDescent="0.35">
      <c r="A22" s="13">
        <v>0.1</v>
      </c>
      <c r="B22" s="22">
        <f t="shared" ref="B22:B37" si="0">B3/A22</f>
        <v>9.4699999999999993E-2</v>
      </c>
      <c r="C22" s="22">
        <f t="shared" ref="C22:C37" si="1">C3/A22</f>
        <v>8.5000000000000006E-2</v>
      </c>
      <c r="D22" s="27">
        <f t="shared" ref="D22:D37" si="2">(C22-B22)/C22*100</f>
        <v>-11.411764705882337</v>
      </c>
    </row>
    <row r="23" spans="1:4" ht="15.5" x14ac:dyDescent="0.35">
      <c r="A23" s="13">
        <v>0.2</v>
      </c>
      <c r="B23" s="22">
        <f t="shared" si="0"/>
        <v>6.8999999999999992E-2</v>
      </c>
      <c r="C23" s="22">
        <f t="shared" si="1"/>
        <v>0.06</v>
      </c>
      <c r="D23" s="27">
        <f t="shared" si="2"/>
        <v>-14.999999999999991</v>
      </c>
    </row>
    <row r="24" spans="1:4" ht="15.5" x14ac:dyDescent="0.35">
      <c r="A24" s="13">
        <v>0.35</v>
      </c>
      <c r="B24" s="22">
        <f t="shared" si="0"/>
        <v>4.4285714285714289E-2</v>
      </c>
      <c r="C24" s="22">
        <f t="shared" si="1"/>
        <v>4.1714285714285718E-2</v>
      </c>
      <c r="D24" s="27">
        <f t="shared" si="2"/>
        <v>-6.1643835616438363</v>
      </c>
    </row>
    <row r="25" spans="1:4" ht="15.5" x14ac:dyDescent="0.35">
      <c r="A25" s="13">
        <v>0.7</v>
      </c>
      <c r="B25" s="22">
        <f t="shared" si="0"/>
        <v>3.035714285714286E-2</v>
      </c>
      <c r="C25" s="22">
        <f t="shared" si="1"/>
        <v>2.9428571428571432E-2</v>
      </c>
      <c r="D25" s="27">
        <f t="shared" si="2"/>
        <v>-3.15533980582524</v>
      </c>
    </row>
    <row r="26" spans="1:4" ht="15.5" x14ac:dyDescent="0.35">
      <c r="A26" s="13">
        <v>1</v>
      </c>
      <c r="B26" s="22">
        <f t="shared" si="0"/>
        <v>2.7799999999999998E-2</v>
      </c>
      <c r="C26" s="22">
        <f t="shared" si="1"/>
        <v>2.5999999999999999E-2</v>
      </c>
      <c r="D26" s="27">
        <f t="shared" si="2"/>
        <v>-6.9230769230769225</v>
      </c>
    </row>
    <row r="27" spans="1:4" ht="15.5" x14ac:dyDescent="0.35">
      <c r="A27" s="13">
        <v>2</v>
      </c>
      <c r="B27" s="22">
        <f t="shared" si="0"/>
        <v>1.9571999999999999E-2</v>
      </c>
      <c r="C27" s="22">
        <f t="shared" si="1"/>
        <v>1.8100000000000002E-2</v>
      </c>
      <c r="D27" s="27">
        <f t="shared" si="2"/>
        <v>-8.1325966850828593</v>
      </c>
    </row>
    <row r="28" spans="1:4" ht="15.5" x14ac:dyDescent="0.35">
      <c r="A28" s="13">
        <v>3.5</v>
      </c>
      <c r="B28" s="22">
        <f t="shared" si="0"/>
        <v>1.4771428571428573E-2</v>
      </c>
      <c r="C28" s="22">
        <f t="shared" si="1"/>
        <v>1.4428571428571429E-2</v>
      </c>
      <c r="D28" s="27">
        <f t="shared" si="2"/>
        <v>-2.3762376237623775</v>
      </c>
    </row>
    <row r="29" spans="1:4" ht="15.5" x14ac:dyDescent="0.35">
      <c r="A29" s="13">
        <v>7</v>
      </c>
      <c r="B29" s="22">
        <f t="shared" si="0"/>
        <v>1.0842857142857142E-2</v>
      </c>
      <c r="C29" s="22">
        <f t="shared" si="1"/>
        <v>1.0142857142857143E-2</v>
      </c>
      <c r="D29" s="27">
        <f t="shared" si="2"/>
        <v>-6.9014084507042179</v>
      </c>
    </row>
    <row r="30" spans="1:4" ht="15.5" x14ac:dyDescent="0.35">
      <c r="A30" s="13">
        <v>10</v>
      </c>
      <c r="B30" s="22">
        <f t="shared" si="0"/>
        <v>9.4799999999999988E-3</v>
      </c>
      <c r="C30" s="22">
        <f t="shared" si="1"/>
        <v>8.7999999999999988E-3</v>
      </c>
      <c r="D30" s="27">
        <f t="shared" si="2"/>
        <v>-7.7272727272727284</v>
      </c>
    </row>
    <row r="31" spans="1:4" ht="15.5" x14ac:dyDescent="0.35">
      <c r="A31" s="13">
        <v>20</v>
      </c>
      <c r="B31" s="22">
        <f t="shared" si="0"/>
        <v>7.4999999999999997E-3</v>
      </c>
      <c r="C31" s="22">
        <f t="shared" si="1"/>
        <v>7.000000000000001E-3</v>
      </c>
      <c r="D31" s="27">
        <f t="shared" si="2"/>
        <v>-7.1428571428571228</v>
      </c>
    </row>
    <row r="32" spans="1:4" ht="15.5" x14ac:dyDescent="0.35">
      <c r="A32" s="13">
        <v>35</v>
      </c>
      <c r="B32" s="22">
        <f t="shared" si="0"/>
        <v>6.3902857142857138E-3</v>
      </c>
      <c r="C32" s="22">
        <f t="shared" si="1"/>
        <v>5.9714285714285711E-3</v>
      </c>
      <c r="D32" s="27">
        <f t="shared" si="2"/>
        <v>-7.0143540669856437</v>
      </c>
    </row>
    <row r="33" spans="1:4" ht="15.5" x14ac:dyDescent="0.35">
      <c r="A33" s="13">
        <v>70</v>
      </c>
      <c r="B33" s="22">
        <f t="shared" si="0"/>
        <v>5.3714285714285713E-3</v>
      </c>
      <c r="C33" s="22">
        <f t="shared" si="1"/>
        <v>5.0571428571428573E-3</v>
      </c>
      <c r="D33" s="27">
        <f t="shared" si="2"/>
        <v>-6.214689265536717</v>
      </c>
    </row>
    <row r="34" spans="1:4" ht="15.5" x14ac:dyDescent="0.35">
      <c r="A34" s="13">
        <v>100</v>
      </c>
      <c r="B34" s="22">
        <f t="shared" si="0"/>
        <v>5.0400000000000002E-3</v>
      </c>
      <c r="C34" s="22">
        <f t="shared" si="1"/>
        <v>4.7099999999999998E-3</v>
      </c>
      <c r="D34" s="27">
        <f t="shared" si="2"/>
        <v>-7.0063694267516023</v>
      </c>
    </row>
    <row r="35" spans="1:4" ht="15.5" x14ac:dyDescent="0.35">
      <c r="A35" s="13">
        <v>200</v>
      </c>
      <c r="B35" s="22">
        <f t="shared" si="0"/>
        <v>4.6250000000000006E-3</v>
      </c>
      <c r="C35" s="22">
        <f t="shared" si="1"/>
        <v>4.3099999999999996E-3</v>
      </c>
      <c r="D35" s="27">
        <f t="shared" si="2"/>
        <v>-7.3085846867749673</v>
      </c>
    </row>
    <row r="36" spans="1:4" ht="15.5" x14ac:dyDescent="0.35">
      <c r="A36" s="13">
        <v>350</v>
      </c>
      <c r="B36" s="22">
        <f t="shared" si="0"/>
        <v>4.4000000000000003E-3</v>
      </c>
      <c r="C36" s="22">
        <f t="shared" si="1"/>
        <v>4.1142857142857144E-3</v>
      </c>
      <c r="D36" s="27">
        <f t="shared" si="2"/>
        <v>-6.9444444444444473</v>
      </c>
    </row>
    <row r="37" spans="1:4" ht="15.5" x14ac:dyDescent="0.35">
      <c r="A37" s="13">
        <v>700</v>
      </c>
      <c r="B37" s="22">
        <f t="shared" si="0"/>
        <v>4.3171428571428571E-3</v>
      </c>
      <c r="C37" s="22">
        <f t="shared" si="1"/>
        <v>4.0714285714285713E-3</v>
      </c>
      <c r="D37" s="27">
        <f t="shared" si="2"/>
        <v>-6.0350877192982457</v>
      </c>
    </row>
    <row r="38" spans="1:4" x14ac:dyDescent="0.35">
      <c r="D38" s="28">
        <f>AVERAGE(D21:D37)</f>
        <v>-6.9223934975365573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8370-FF3B-49F9-B938-EBFCD3C09393}">
  <dimension ref="A1:D38"/>
  <sheetViews>
    <sheetView topLeftCell="A7" workbookViewId="0">
      <selection sqref="A1:XFD1"/>
    </sheetView>
  </sheetViews>
  <sheetFormatPr defaultRowHeight="14.5" x14ac:dyDescent="0.35"/>
  <cols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5.6499999999999996E-3</v>
      </c>
      <c r="C2">
        <v>7.8100000000000001E-3</v>
      </c>
    </row>
    <row r="3" spans="1:3" ht="15.5" x14ac:dyDescent="0.35">
      <c r="A3" s="13">
        <v>0.1</v>
      </c>
      <c r="B3">
        <v>8.3000000000000001E-3</v>
      </c>
      <c r="C3">
        <v>8.4700000000000001E-3</v>
      </c>
    </row>
    <row r="4" spans="1:3" ht="15.5" x14ac:dyDescent="0.35">
      <c r="A4" s="13">
        <v>0.2</v>
      </c>
      <c r="B4">
        <v>1.0800000000000001E-2</v>
      </c>
      <c r="C4">
        <v>1.26E-2</v>
      </c>
    </row>
    <row r="5" spans="1:3" ht="15.5" x14ac:dyDescent="0.35">
      <c r="A5" s="13">
        <v>0.35</v>
      </c>
      <c r="B5">
        <v>1.3599999999999999E-2</v>
      </c>
      <c r="C5">
        <v>1.46E-2</v>
      </c>
    </row>
    <row r="6" spans="1:3" ht="15.5" x14ac:dyDescent="0.35">
      <c r="A6" s="13">
        <v>0.7</v>
      </c>
      <c r="B6">
        <v>1.9199999999999998E-2</v>
      </c>
      <c r="C6">
        <v>2.1000000000000001E-2</v>
      </c>
    </row>
    <row r="7" spans="1:3" ht="15.5" x14ac:dyDescent="0.35">
      <c r="A7" s="13">
        <v>1</v>
      </c>
      <c r="B7">
        <v>2.2599999999999999E-2</v>
      </c>
      <c r="C7">
        <v>2.7E-2</v>
      </c>
    </row>
    <row r="8" spans="1:3" ht="15.5" x14ac:dyDescent="0.35">
      <c r="A8" s="13">
        <v>2</v>
      </c>
      <c r="B8">
        <v>3.39E-2</v>
      </c>
      <c r="C8">
        <v>3.7900000000000003E-2</v>
      </c>
    </row>
    <row r="9" spans="1:3" ht="15.5" x14ac:dyDescent="0.35">
      <c r="A9" s="13">
        <v>3.5</v>
      </c>
      <c r="B9">
        <v>4.5900000000000003E-2</v>
      </c>
      <c r="C9">
        <v>5.33E-2</v>
      </c>
    </row>
    <row r="10" spans="1:3" ht="15.5" x14ac:dyDescent="0.35">
      <c r="A10" s="13">
        <v>7</v>
      </c>
      <c r="B10">
        <v>6.7699999999999996E-2</v>
      </c>
      <c r="C10">
        <v>7.4899999999999994E-2</v>
      </c>
    </row>
    <row r="11" spans="1:3" ht="15.5" x14ac:dyDescent="0.35">
      <c r="A11" s="13">
        <v>10</v>
      </c>
      <c r="B11">
        <v>8.5599999999999996E-2</v>
      </c>
      <c r="C11">
        <v>9.5600000000000004E-2</v>
      </c>
    </row>
    <row r="12" spans="1:3" ht="15.5" x14ac:dyDescent="0.35">
      <c r="A12" s="13">
        <v>20</v>
      </c>
      <c r="B12">
        <v>0.13800000000000001</v>
      </c>
      <c r="C12">
        <v>0.152</v>
      </c>
    </row>
    <row r="13" spans="1:3" ht="15.5" x14ac:dyDescent="0.35">
      <c r="A13" s="13">
        <v>35</v>
      </c>
      <c r="B13">
        <v>0.20699999999999999</v>
      </c>
      <c r="C13">
        <v>0.22800000000000001</v>
      </c>
    </row>
    <row r="14" spans="1:3" ht="15.5" x14ac:dyDescent="0.35">
      <c r="A14" s="13">
        <v>70</v>
      </c>
      <c r="B14">
        <v>0.35099999999999998</v>
      </c>
      <c r="C14">
        <v>0.38100000000000001</v>
      </c>
    </row>
    <row r="15" spans="1:3" ht="15.5" x14ac:dyDescent="0.35">
      <c r="A15" s="13">
        <v>100</v>
      </c>
      <c r="B15">
        <v>0.46800000000000003</v>
      </c>
      <c r="C15">
        <v>0.51200000000000001</v>
      </c>
    </row>
    <row r="16" spans="1:3" ht="15.5" x14ac:dyDescent="0.35">
      <c r="A16" s="13">
        <v>200</v>
      </c>
      <c r="B16">
        <v>0.84799999999999998</v>
      </c>
      <c r="C16">
        <v>0.92800000000000005</v>
      </c>
    </row>
    <row r="17" spans="1:4" ht="15.5" x14ac:dyDescent="0.35">
      <c r="A17" s="13">
        <v>350</v>
      </c>
      <c r="B17">
        <v>1.427</v>
      </c>
      <c r="C17">
        <v>1.54</v>
      </c>
    </row>
    <row r="18" spans="1:4" ht="15.5" x14ac:dyDescent="0.35">
      <c r="A18" s="13">
        <v>700</v>
      </c>
      <c r="B18">
        <v>2.78</v>
      </c>
      <c r="C18">
        <v>2.97</v>
      </c>
    </row>
    <row r="20" spans="1:4" ht="15.5" x14ac:dyDescent="0.35">
      <c r="A20" s="14" t="s">
        <v>0</v>
      </c>
      <c r="B20" s="5" t="s">
        <v>36</v>
      </c>
      <c r="C20" s="14" t="s">
        <v>36</v>
      </c>
      <c r="D20" s="32" t="s">
        <v>46</v>
      </c>
    </row>
    <row r="21" spans="1:4" ht="15.5" x14ac:dyDescent="0.35">
      <c r="A21" s="12">
        <v>0.05</v>
      </c>
      <c r="B21">
        <f>B2/A21</f>
        <v>0.11299999999999999</v>
      </c>
      <c r="C21">
        <f>C2/A21</f>
        <v>0.15620000000000001</v>
      </c>
      <c r="D21" s="32">
        <f>(C21-B21)/C21*100</f>
        <v>27.656850192061473</v>
      </c>
    </row>
    <row r="22" spans="1:4" ht="15.5" x14ac:dyDescent="0.35">
      <c r="A22" s="13">
        <v>0.1</v>
      </c>
      <c r="B22">
        <f t="shared" ref="B22:B37" si="0">B3/A22</f>
        <v>8.299999999999999E-2</v>
      </c>
      <c r="C22">
        <f t="shared" ref="C22:C37" si="1">C3/A22</f>
        <v>8.4699999999999998E-2</v>
      </c>
      <c r="D22" s="32">
        <f t="shared" ref="D22:D37" si="2">(C22-B22)/C22*100</f>
        <v>2.007083825265652</v>
      </c>
    </row>
    <row r="23" spans="1:4" ht="15.5" x14ac:dyDescent="0.35">
      <c r="A23" s="13">
        <v>0.2</v>
      </c>
      <c r="B23">
        <f t="shared" si="0"/>
        <v>5.3999999999999999E-2</v>
      </c>
      <c r="C23">
        <f t="shared" si="1"/>
        <v>6.3E-2</v>
      </c>
      <c r="D23" s="32">
        <f t="shared" si="2"/>
        <v>14.285714285714288</v>
      </c>
    </row>
    <row r="24" spans="1:4" ht="15.5" x14ac:dyDescent="0.35">
      <c r="A24" s="13">
        <v>0.35</v>
      </c>
      <c r="B24">
        <f t="shared" si="0"/>
        <v>3.8857142857142854E-2</v>
      </c>
      <c r="C24">
        <f t="shared" si="1"/>
        <v>4.1714285714285718E-2</v>
      </c>
      <c r="D24" s="32">
        <f t="shared" si="2"/>
        <v>6.8493150684931656</v>
      </c>
    </row>
    <row r="25" spans="1:4" ht="15.5" x14ac:dyDescent="0.35">
      <c r="A25" s="13">
        <v>0.7</v>
      </c>
      <c r="B25">
        <f t="shared" si="0"/>
        <v>2.7428571428571427E-2</v>
      </c>
      <c r="C25">
        <f t="shared" si="1"/>
        <v>3.0000000000000002E-2</v>
      </c>
      <c r="D25" s="32">
        <f t="shared" si="2"/>
        <v>8.5714285714285836</v>
      </c>
    </row>
    <row r="26" spans="1:4" ht="15.5" x14ac:dyDescent="0.35">
      <c r="A26" s="13">
        <v>1</v>
      </c>
      <c r="B26">
        <f t="shared" si="0"/>
        <v>2.2599999999999999E-2</v>
      </c>
      <c r="C26">
        <f t="shared" si="1"/>
        <v>2.7E-2</v>
      </c>
      <c r="D26" s="32">
        <f t="shared" si="2"/>
        <v>16.296296296296301</v>
      </c>
    </row>
    <row r="27" spans="1:4" ht="15.5" x14ac:dyDescent="0.35">
      <c r="A27" s="13">
        <v>2</v>
      </c>
      <c r="B27">
        <f t="shared" si="0"/>
        <v>1.695E-2</v>
      </c>
      <c r="C27">
        <f t="shared" si="1"/>
        <v>1.8950000000000002E-2</v>
      </c>
      <c r="D27" s="32">
        <f t="shared" si="2"/>
        <v>10.554089709762541</v>
      </c>
    </row>
    <row r="28" spans="1:4" ht="15.5" x14ac:dyDescent="0.35">
      <c r="A28" s="13">
        <v>3.5</v>
      </c>
      <c r="B28">
        <f t="shared" si="0"/>
        <v>1.3114285714285715E-2</v>
      </c>
      <c r="C28">
        <f t="shared" si="1"/>
        <v>1.5228571428571428E-2</v>
      </c>
      <c r="D28" s="32">
        <f t="shared" si="2"/>
        <v>13.883677298311433</v>
      </c>
    </row>
    <row r="29" spans="1:4" ht="15.5" x14ac:dyDescent="0.35">
      <c r="A29" s="13">
        <v>7</v>
      </c>
      <c r="B29">
        <f t="shared" si="0"/>
        <v>9.6714285714285704E-3</v>
      </c>
      <c r="C29">
        <f t="shared" si="1"/>
        <v>1.0699999999999999E-2</v>
      </c>
      <c r="D29" s="32">
        <f t="shared" si="2"/>
        <v>9.6128170894526086</v>
      </c>
    </row>
    <row r="30" spans="1:4" ht="15.5" x14ac:dyDescent="0.35">
      <c r="A30" s="13">
        <v>10</v>
      </c>
      <c r="B30">
        <f t="shared" si="0"/>
        <v>8.5599999999999999E-3</v>
      </c>
      <c r="C30">
        <f t="shared" si="1"/>
        <v>9.5600000000000008E-3</v>
      </c>
      <c r="D30" s="32">
        <f t="shared" si="2"/>
        <v>10.460251046025112</v>
      </c>
    </row>
    <row r="31" spans="1:4" ht="15.5" x14ac:dyDescent="0.35">
      <c r="A31" s="13">
        <v>20</v>
      </c>
      <c r="B31">
        <f t="shared" si="0"/>
        <v>6.9000000000000008E-3</v>
      </c>
      <c r="C31">
        <f t="shared" si="1"/>
        <v>7.6E-3</v>
      </c>
      <c r="D31" s="32">
        <f t="shared" si="2"/>
        <v>9.2105263157894637</v>
      </c>
    </row>
    <row r="32" spans="1:4" ht="15.5" x14ac:dyDescent="0.35">
      <c r="A32" s="13">
        <v>35</v>
      </c>
      <c r="B32">
        <f t="shared" si="0"/>
        <v>5.9142857142857139E-3</v>
      </c>
      <c r="C32">
        <f t="shared" si="1"/>
        <v>6.5142857142857146E-3</v>
      </c>
      <c r="D32" s="32">
        <f t="shared" si="2"/>
        <v>9.210526315789485</v>
      </c>
    </row>
    <row r="33" spans="1:4" ht="15.5" x14ac:dyDescent="0.35">
      <c r="A33" s="13">
        <v>70</v>
      </c>
      <c r="B33">
        <f t="shared" si="0"/>
        <v>5.0142857142857142E-3</v>
      </c>
      <c r="C33">
        <f t="shared" si="1"/>
        <v>5.4428571428571425E-3</v>
      </c>
      <c r="D33" s="32">
        <f t="shared" si="2"/>
        <v>7.8740157480314918</v>
      </c>
    </row>
    <row r="34" spans="1:4" ht="15.5" x14ac:dyDescent="0.35">
      <c r="A34" s="13">
        <v>100</v>
      </c>
      <c r="B34">
        <f t="shared" si="0"/>
        <v>4.6800000000000001E-3</v>
      </c>
      <c r="C34">
        <f t="shared" si="1"/>
        <v>5.1200000000000004E-3</v>
      </c>
      <c r="D34" s="32">
        <f t="shared" si="2"/>
        <v>8.5937500000000053</v>
      </c>
    </row>
    <row r="35" spans="1:4" ht="15.5" x14ac:dyDescent="0.35">
      <c r="A35" s="13">
        <v>200</v>
      </c>
      <c r="B35">
        <f t="shared" si="0"/>
        <v>4.2399999999999998E-3</v>
      </c>
      <c r="C35">
        <f t="shared" si="1"/>
        <v>4.64E-3</v>
      </c>
      <c r="D35" s="32">
        <f t="shared" si="2"/>
        <v>8.6206896551724164</v>
      </c>
    </row>
    <row r="36" spans="1:4" ht="15.5" x14ac:dyDescent="0.35">
      <c r="A36" s="13">
        <v>350</v>
      </c>
      <c r="B36">
        <f t="shared" si="0"/>
        <v>4.0771428571428573E-3</v>
      </c>
      <c r="C36">
        <f t="shared" si="1"/>
        <v>4.4000000000000003E-3</v>
      </c>
      <c r="D36" s="32">
        <f t="shared" si="2"/>
        <v>7.3376623376623398</v>
      </c>
    </row>
    <row r="37" spans="1:4" ht="15.5" x14ac:dyDescent="0.35">
      <c r="A37" s="13">
        <v>700</v>
      </c>
      <c r="B37">
        <f t="shared" si="0"/>
        <v>3.9714285714285711E-3</v>
      </c>
      <c r="C37">
        <f t="shared" si="1"/>
        <v>4.2428571428571428E-3</v>
      </c>
      <c r="D37" s="32">
        <f t="shared" si="2"/>
        <v>6.3973063973064059</v>
      </c>
    </row>
    <row r="38" spans="1:4" ht="15.5" x14ac:dyDescent="0.35">
      <c r="D38" s="35">
        <f>AVERAGE(D21:D37)</f>
        <v>10.436588244268398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683A-48C3-4919-ADC5-0CF69F552291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4" ht="15.5" x14ac:dyDescent="0.35">
      <c r="A1" s="1" t="s">
        <v>0</v>
      </c>
      <c r="B1" s="1" t="s">
        <v>1</v>
      </c>
      <c r="C1" s="20" t="s">
        <v>1</v>
      </c>
      <c r="D1" s="34">
        <v>0.1</v>
      </c>
    </row>
    <row r="2" spans="1:4" ht="15.5" x14ac:dyDescent="0.35">
      <c r="A2" s="12">
        <v>0.05</v>
      </c>
      <c r="B2">
        <v>5.7219999999999997E-3</v>
      </c>
      <c r="C2">
        <v>5.2500000000000003E-3</v>
      </c>
      <c r="D2">
        <f>0.1*C2</f>
        <v>5.2500000000000008E-4</v>
      </c>
    </row>
    <row r="3" spans="1:4" ht="15.5" x14ac:dyDescent="0.35">
      <c r="A3" s="13">
        <v>0.1</v>
      </c>
      <c r="B3">
        <v>6.7200000000000003E-3</v>
      </c>
      <c r="C3">
        <v>7.2500000000000004E-3</v>
      </c>
      <c r="D3">
        <f t="shared" ref="D3:D18" si="0">0.1*C3</f>
        <v>7.2500000000000006E-4</v>
      </c>
    </row>
    <row r="4" spans="1:4" ht="15.5" x14ac:dyDescent="0.35">
      <c r="A4" s="13">
        <v>0.2</v>
      </c>
      <c r="B4">
        <v>9.1000000000000004E-3</v>
      </c>
      <c r="C4">
        <v>9.6399999999999993E-3</v>
      </c>
      <c r="D4">
        <f t="shared" si="0"/>
        <v>9.6400000000000001E-4</v>
      </c>
    </row>
    <row r="5" spans="1:4" ht="15.5" x14ac:dyDescent="0.35">
      <c r="A5" s="13">
        <v>0.35</v>
      </c>
      <c r="B5">
        <v>1.1599999999999999E-2</v>
      </c>
      <c r="C5">
        <v>1.26E-2</v>
      </c>
      <c r="D5">
        <f t="shared" si="0"/>
        <v>1.2600000000000001E-3</v>
      </c>
    </row>
    <row r="6" spans="1:4" ht="15.5" x14ac:dyDescent="0.35">
      <c r="A6" s="13">
        <v>0.7</v>
      </c>
      <c r="B6">
        <v>1.6400000000000001E-2</v>
      </c>
      <c r="C6">
        <v>1.7999999999999999E-2</v>
      </c>
      <c r="D6">
        <f t="shared" si="0"/>
        <v>1.8E-3</v>
      </c>
    </row>
    <row r="7" spans="1:4" ht="15.5" x14ac:dyDescent="0.35">
      <c r="A7" s="13">
        <v>1</v>
      </c>
      <c r="B7">
        <v>1.9879999999999998E-2</v>
      </c>
      <c r="C7">
        <v>2.2800000000000001E-2</v>
      </c>
      <c r="D7">
        <f t="shared" si="0"/>
        <v>2.2800000000000003E-3</v>
      </c>
    </row>
    <row r="8" spans="1:4" ht="15.5" x14ac:dyDescent="0.35">
      <c r="A8" s="13">
        <v>2</v>
      </c>
      <c r="B8">
        <v>2.93E-2</v>
      </c>
      <c r="C8">
        <v>3.2599999999999997E-2</v>
      </c>
      <c r="D8">
        <f t="shared" si="0"/>
        <v>3.2599999999999999E-3</v>
      </c>
    </row>
    <row r="9" spans="1:4" ht="15.5" x14ac:dyDescent="0.35">
      <c r="A9" s="13">
        <v>3.5</v>
      </c>
      <c r="B9">
        <v>4.0899999999999999E-2</v>
      </c>
      <c r="C9">
        <v>4.3700000000000003E-2</v>
      </c>
      <c r="D9">
        <f t="shared" si="0"/>
        <v>4.3700000000000006E-3</v>
      </c>
    </row>
    <row r="10" spans="1:4" ht="15.5" x14ac:dyDescent="0.35">
      <c r="A10" s="13">
        <v>7</v>
      </c>
      <c r="B10">
        <v>5.8900000000000001E-2</v>
      </c>
      <c r="C10">
        <v>6.4000000000000001E-2</v>
      </c>
      <c r="D10">
        <f t="shared" si="0"/>
        <v>6.4000000000000003E-3</v>
      </c>
    </row>
    <row r="11" spans="1:4" ht="15.5" x14ac:dyDescent="0.35">
      <c r="A11" s="13">
        <v>10</v>
      </c>
      <c r="B11">
        <v>7.46E-2</v>
      </c>
      <c r="C11">
        <v>8.1600000000000006E-2</v>
      </c>
      <c r="D11">
        <f t="shared" si="0"/>
        <v>8.1600000000000006E-3</v>
      </c>
    </row>
    <row r="12" spans="1:4" ht="15.5" x14ac:dyDescent="0.35">
      <c r="A12" s="13">
        <v>20</v>
      </c>
      <c r="B12">
        <v>0.12039999999999999</v>
      </c>
      <c r="C12">
        <v>0.13109999999999999</v>
      </c>
      <c r="D12">
        <f t="shared" si="0"/>
        <v>1.311E-2</v>
      </c>
    </row>
    <row r="13" spans="1:4" ht="15.5" x14ac:dyDescent="0.35">
      <c r="A13" s="13">
        <v>35</v>
      </c>
      <c r="B13">
        <v>0.1804</v>
      </c>
      <c r="C13">
        <v>0.19600000000000001</v>
      </c>
      <c r="D13">
        <f t="shared" si="0"/>
        <v>1.9600000000000003E-2</v>
      </c>
    </row>
    <row r="14" spans="1:4" ht="15.5" x14ac:dyDescent="0.35">
      <c r="A14" s="13">
        <v>70</v>
      </c>
      <c r="B14">
        <v>0.30590000000000001</v>
      </c>
      <c r="C14">
        <v>0.33100000000000002</v>
      </c>
      <c r="D14">
        <f t="shared" si="0"/>
        <v>3.3100000000000004E-2</v>
      </c>
    </row>
    <row r="15" spans="1:4" ht="15.5" x14ac:dyDescent="0.35">
      <c r="A15" s="13">
        <v>100</v>
      </c>
      <c r="B15">
        <v>0.40970000000000001</v>
      </c>
      <c r="C15">
        <v>0.442</v>
      </c>
      <c r="D15">
        <f t="shared" si="0"/>
        <v>4.4200000000000003E-2</v>
      </c>
    </row>
    <row r="16" spans="1:4" ht="15.5" x14ac:dyDescent="0.35">
      <c r="A16" s="13">
        <v>200</v>
      </c>
      <c r="B16">
        <v>0.752</v>
      </c>
      <c r="C16">
        <v>0.79700000000000004</v>
      </c>
      <c r="D16">
        <f t="shared" si="0"/>
        <v>7.9700000000000007E-2</v>
      </c>
    </row>
    <row r="17" spans="1:4" ht="15.5" x14ac:dyDescent="0.35">
      <c r="A17" s="13">
        <v>350</v>
      </c>
      <c r="B17">
        <v>1.2569999999999999</v>
      </c>
      <c r="C17">
        <v>1.3240000000000001</v>
      </c>
      <c r="D17">
        <f t="shared" si="0"/>
        <v>0.13240000000000002</v>
      </c>
    </row>
    <row r="18" spans="1:4" ht="15.5" x14ac:dyDescent="0.35">
      <c r="A18" s="13">
        <v>700</v>
      </c>
      <c r="B18">
        <v>2.65</v>
      </c>
      <c r="C18">
        <v>2.68</v>
      </c>
      <c r="D18">
        <f t="shared" si="0"/>
        <v>0.26800000000000002</v>
      </c>
    </row>
    <row r="20" spans="1:4" ht="15.5" x14ac:dyDescent="0.35">
      <c r="A20" s="14" t="s">
        <v>0</v>
      </c>
      <c r="B20" s="5" t="s">
        <v>36</v>
      </c>
      <c r="C20" s="14" t="s">
        <v>36</v>
      </c>
      <c r="D20" s="36" t="s">
        <v>55</v>
      </c>
    </row>
    <row r="21" spans="1:4" ht="15.5" x14ac:dyDescent="0.35">
      <c r="A21" s="12">
        <v>0.05</v>
      </c>
      <c r="B21">
        <f>B2/A21</f>
        <v>0.11443999999999999</v>
      </c>
      <c r="C21">
        <f>C2/A21</f>
        <v>0.105</v>
      </c>
      <c r="D21" s="37">
        <f t="shared" ref="D21:D37" si="1">(C21-B21)/C21*100</f>
        <v>-8.9904761904761799</v>
      </c>
    </row>
    <row r="22" spans="1:4" ht="15.5" x14ac:dyDescent="0.35">
      <c r="A22" s="13">
        <v>0.1</v>
      </c>
      <c r="B22">
        <f t="shared" ref="B22:B37" si="2">B3/A22</f>
        <v>6.7199999999999996E-2</v>
      </c>
      <c r="C22">
        <f t="shared" ref="C22:C37" si="3">C3/A22</f>
        <v>7.2499999999999995E-2</v>
      </c>
      <c r="D22" s="37">
        <f t="shared" si="1"/>
        <v>7.3103448275862055</v>
      </c>
    </row>
    <row r="23" spans="1:4" ht="15.5" x14ac:dyDescent="0.35">
      <c r="A23" s="13">
        <v>0.2</v>
      </c>
      <c r="B23">
        <f t="shared" si="2"/>
        <v>4.5499999999999999E-2</v>
      </c>
      <c r="C23">
        <f t="shared" si="3"/>
        <v>4.8199999999999993E-2</v>
      </c>
      <c r="D23" s="37">
        <f t="shared" si="1"/>
        <v>5.6016597510373325</v>
      </c>
    </row>
    <row r="24" spans="1:4" ht="15.5" x14ac:dyDescent="0.35">
      <c r="A24" s="13">
        <v>0.35</v>
      </c>
      <c r="B24">
        <f t="shared" si="2"/>
        <v>3.3142857142857141E-2</v>
      </c>
      <c r="C24">
        <f t="shared" si="3"/>
        <v>3.6000000000000004E-2</v>
      </c>
      <c r="D24" s="37">
        <f t="shared" si="1"/>
        <v>7.9365079365079545</v>
      </c>
    </row>
    <row r="25" spans="1:4" ht="15.5" x14ac:dyDescent="0.35">
      <c r="A25" s="13">
        <v>0.7</v>
      </c>
      <c r="B25">
        <f t="shared" si="2"/>
        <v>2.3428571428571431E-2</v>
      </c>
      <c r="C25">
        <f t="shared" si="3"/>
        <v>2.5714285714285714E-2</v>
      </c>
      <c r="D25" s="37">
        <f t="shared" si="1"/>
        <v>8.8888888888888786</v>
      </c>
    </row>
    <row r="26" spans="1:4" ht="15.5" x14ac:dyDescent="0.35">
      <c r="A26" s="13">
        <v>1</v>
      </c>
      <c r="B26">
        <f t="shared" si="2"/>
        <v>1.9879999999999998E-2</v>
      </c>
      <c r="C26">
        <f t="shared" si="3"/>
        <v>2.2800000000000001E-2</v>
      </c>
      <c r="D26" s="37">
        <f t="shared" si="1"/>
        <v>12.807017543859658</v>
      </c>
    </row>
    <row r="27" spans="1:4" ht="15.5" x14ac:dyDescent="0.35">
      <c r="A27" s="13">
        <v>2</v>
      </c>
      <c r="B27">
        <f t="shared" si="2"/>
        <v>1.465E-2</v>
      </c>
      <c r="C27">
        <f t="shared" si="3"/>
        <v>1.6299999999999999E-2</v>
      </c>
      <c r="D27" s="37">
        <f t="shared" si="1"/>
        <v>10.12269938650306</v>
      </c>
    </row>
    <row r="28" spans="1:4" ht="15.5" x14ac:dyDescent="0.35">
      <c r="A28" s="13">
        <v>3.5</v>
      </c>
      <c r="B28">
        <f t="shared" si="2"/>
        <v>1.1685714285714285E-2</v>
      </c>
      <c r="C28">
        <f t="shared" si="3"/>
        <v>1.2485714285714286E-2</v>
      </c>
      <c r="D28" s="37">
        <f t="shared" si="1"/>
        <v>6.4073226544622459</v>
      </c>
    </row>
    <row r="29" spans="1:4" ht="15.5" x14ac:dyDescent="0.35">
      <c r="A29" s="13">
        <v>7</v>
      </c>
      <c r="B29">
        <f t="shared" si="2"/>
        <v>8.4142857142857144E-3</v>
      </c>
      <c r="C29">
        <f t="shared" si="3"/>
        <v>9.1428571428571435E-3</v>
      </c>
      <c r="D29" s="37">
        <f t="shared" si="1"/>
        <v>7.9687500000000053</v>
      </c>
    </row>
    <row r="30" spans="1:4" ht="15.5" x14ac:dyDescent="0.35">
      <c r="A30" s="13">
        <v>10</v>
      </c>
      <c r="B30">
        <f t="shared" si="2"/>
        <v>7.4599999999999996E-3</v>
      </c>
      <c r="C30">
        <f t="shared" si="3"/>
        <v>8.1600000000000006E-3</v>
      </c>
      <c r="D30" s="37">
        <f t="shared" si="1"/>
        <v>8.57843137254903</v>
      </c>
    </row>
    <row r="31" spans="1:4" ht="15.5" x14ac:dyDescent="0.35">
      <c r="A31" s="13">
        <v>20</v>
      </c>
      <c r="B31">
        <f t="shared" si="2"/>
        <v>6.0199999999999993E-3</v>
      </c>
      <c r="C31">
        <f t="shared" si="3"/>
        <v>6.5550000000000001E-3</v>
      </c>
      <c r="D31" s="37">
        <f t="shared" si="1"/>
        <v>8.1617086193745347</v>
      </c>
    </row>
    <row r="32" spans="1:4" ht="15.5" x14ac:dyDescent="0.35">
      <c r="A32" s="13">
        <v>35</v>
      </c>
      <c r="B32">
        <f t="shared" si="2"/>
        <v>5.1542857142857145E-3</v>
      </c>
      <c r="C32">
        <f t="shared" si="3"/>
        <v>5.5999999999999999E-3</v>
      </c>
      <c r="D32" s="37">
        <f t="shared" si="1"/>
        <v>7.9591836734693819</v>
      </c>
    </row>
    <row r="33" spans="1:4" ht="15.5" x14ac:dyDescent="0.35">
      <c r="A33" s="13">
        <v>70</v>
      </c>
      <c r="B33">
        <f t="shared" si="2"/>
        <v>4.3699999999999998E-3</v>
      </c>
      <c r="C33">
        <f t="shared" si="3"/>
        <v>4.7285714285714292E-3</v>
      </c>
      <c r="D33" s="37">
        <f t="shared" si="1"/>
        <v>7.5830815709969972</v>
      </c>
    </row>
    <row r="34" spans="1:4" ht="15.5" x14ac:dyDescent="0.35">
      <c r="A34" s="13">
        <v>100</v>
      </c>
      <c r="B34">
        <f t="shared" si="2"/>
        <v>4.0969999999999999E-3</v>
      </c>
      <c r="C34">
        <f t="shared" si="3"/>
        <v>4.4200000000000003E-3</v>
      </c>
      <c r="D34" s="37">
        <f t="shared" si="1"/>
        <v>7.3076923076923155</v>
      </c>
    </row>
    <row r="35" spans="1:4" ht="15.5" x14ac:dyDescent="0.35">
      <c r="A35" s="13">
        <v>200</v>
      </c>
      <c r="B35">
        <f t="shared" si="2"/>
        <v>3.7599999999999999E-3</v>
      </c>
      <c r="C35">
        <f t="shared" si="3"/>
        <v>3.9849999999999998E-3</v>
      </c>
      <c r="D35" s="37">
        <f t="shared" si="1"/>
        <v>5.6461731493099112</v>
      </c>
    </row>
    <row r="36" spans="1:4" ht="15.5" x14ac:dyDescent="0.35">
      <c r="A36" s="13">
        <v>350</v>
      </c>
      <c r="B36">
        <f t="shared" si="2"/>
        <v>3.5914285714285709E-3</v>
      </c>
      <c r="C36">
        <f t="shared" si="3"/>
        <v>3.7828571428571429E-3</v>
      </c>
      <c r="D36" s="37">
        <f t="shared" si="1"/>
        <v>5.0604229607250906</v>
      </c>
    </row>
    <row r="37" spans="1:4" ht="15.5" x14ac:dyDescent="0.35">
      <c r="A37" s="13">
        <v>700</v>
      </c>
      <c r="B37">
        <f t="shared" si="2"/>
        <v>3.7857142857142855E-3</v>
      </c>
      <c r="C37">
        <f t="shared" si="3"/>
        <v>3.828571428571429E-3</v>
      </c>
      <c r="D37" s="37">
        <f t="shared" si="1"/>
        <v>1.1194029850746443</v>
      </c>
    </row>
    <row r="38" spans="1:4" x14ac:dyDescent="0.35">
      <c r="D38" s="37">
        <f>AVERAGE(D21:D37)</f>
        <v>6.4393418492682981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5FFD-8EDD-4A96-801D-DFBFD78920E3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1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6.8490000000000001E-3</v>
      </c>
      <c r="C2">
        <v>5.1799999999999997E-3</v>
      </c>
    </row>
    <row r="3" spans="1:3" ht="15.5" x14ac:dyDescent="0.35">
      <c r="A3" s="13">
        <v>0.1</v>
      </c>
      <c r="B3">
        <v>7.8700000000000003E-3</v>
      </c>
      <c r="C3">
        <v>6.5399999999999998E-3</v>
      </c>
    </row>
    <row r="4" spans="1:3" ht="15.5" x14ac:dyDescent="0.35">
      <c r="A4" s="13">
        <v>0.2</v>
      </c>
      <c r="B4">
        <v>9.5899999999999996E-3</v>
      </c>
      <c r="C4">
        <v>8.4100000000000008E-3</v>
      </c>
    </row>
    <row r="5" spans="1:3" ht="15.5" x14ac:dyDescent="0.35">
      <c r="A5" s="13">
        <v>0.35</v>
      </c>
      <c r="B5">
        <v>1.29E-2</v>
      </c>
      <c r="C5">
        <v>1.0999999999999999E-2</v>
      </c>
    </row>
    <row r="6" spans="1:3" ht="15.5" x14ac:dyDescent="0.35">
      <c r="A6" s="13">
        <v>0.7</v>
      </c>
      <c r="B6">
        <v>1.8249999999999999E-2</v>
      </c>
      <c r="C6">
        <v>1.5699999999999999E-2</v>
      </c>
    </row>
    <row r="7" spans="1:3" ht="15.5" x14ac:dyDescent="0.35">
      <c r="A7" s="13">
        <v>1</v>
      </c>
      <c r="B7">
        <v>2.2460000000000001E-2</v>
      </c>
      <c r="C7">
        <v>1.9199999999999998E-2</v>
      </c>
    </row>
    <row r="8" spans="1:3" ht="15.5" x14ac:dyDescent="0.35">
      <c r="A8" s="13">
        <v>2</v>
      </c>
      <c r="B8">
        <v>3.4500000000000003E-2</v>
      </c>
      <c r="C8">
        <v>2.9499999999999998E-2</v>
      </c>
    </row>
    <row r="9" spans="1:3" ht="15.5" x14ac:dyDescent="0.35">
      <c r="A9" s="13">
        <v>3.5</v>
      </c>
      <c r="B9">
        <v>4.7399999999999998E-2</v>
      </c>
      <c r="C9">
        <v>3.9899999999999998E-2</v>
      </c>
    </row>
    <row r="10" spans="1:3" ht="15.5" x14ac:dyDescent="0.35">
      <c r="A10" s="13">
        <v>7</v>
      </c>
      <c r="B10">
        <v>7.2700000000000001E-2</v>
      </c>
      <c r="C10">
        <v>6.13E-2</v>
      </c>
    </row>
    <row r="11" spans="1:3" ht="15.5" x14ac:dyDescent="0.35">
      <c r="A11" s="13">
        <v>10</v>
      </c>
      <c r="B11">
        <v>9.0359999999999996E-2</v>
      </c>
      <c r="C11">
        <v>7.7600000000000002E-2</v>
      </c>
    </row>
    <row r="12" spans="1:3" ht="15.5" x14ac:dyDescent="0.35">
      <c r="A12" s="13">
        <v>20</v>
      </c>
      <c r="B12">
        <v>0.14499999999999999</v>
      </c>
      <c r="C12">
        <v>0.126</v>
      </c>
    </row>
    <row r="13" spans="1:3" ht="15.5" x14ac:dyDescent="0.35">
      <c r="A13" s="13">
        <v>35</v>
      </c>
      <c r="B13">
        <v>0.218</v>
      </c>
      <c r="C13">
        <v>0.191</v>
      </c>
    </row>
    <row r="14" spans="1:3" ht="15.5" x14ac:dyDescent="0.35">
      <c r="A14" s="13">
        <v>70</v>
      </c>
      <c r="B14">
        <v>0.36799999999999999</v>
      </c>
      <c r="C14">
        <v>0.32500000000000001</v>
      </c>
    </row>
    <row r="15" spans="1:3" ht="15.5" x14ac:dyDescent="0.35">
      <c r="A15" s="13">
        <v>100</v>
      </c>
      <c r="B15">
        <v>0.48759999999999998</v>
      </c>
      <c r="C15">
        <v>0.434</v>
      </c>
    </row>
    <row r="16" spans="1:3" ht="15.5" x14ac:dyDescent="0.35">
      <c r="A16" s="13">
        <v>200</v>
      </c>
      <c r="B16">
        <v>0.87</v>
      </c>
      <c r="C16">
        <v>0.78300000000000003</v>
      </c>
    </row>
    <row r="17" spans="1:4" ht="15.5" x14ac:dyDescent="0.35">
      <c r="A17" s="13">
        <v>350</v>
      </c>
      <c r="B17">
        <v>1.42</v>
      </c>
      <c r="C17">
        <v>1.3</v>
      </c>
    </row>
    <row r="18" spans="1:4" ht="15.5" x14ac:dyDescent="0.35">
      <c r="A18" s="13">
        <v>700</v>
      </c>
      <c r="B18">
        <v>2.75</v>
      </c>
      <c r="C18">
        <v>2.71</v>
      </c>
    </row>
    <row r="20" spans="1:4" ht="15.5" x14ac:dyDescent="0.35">
      <c r="A20" s="14" t="s">
        <v>0</v>
      </c>
      <c r="B20" t="s">
        <v>51</v>
      </c>
      <c r="C20" t="s">
        <v>51</v>
      </c>
      <c r="D20" s="36" t="s">
        <v>55</v>
      </c>
    </row>
    <row r="21" spans="1:4" ht="15.5" x14ac:dyDescent="0.35">
      <c r="A21" s="12">
        <v>0.05</v>
      </c>
      <c r="B21">
        <f>B2/A21</f>
        <v>0.13697999999999999</v>
      </c>
      <c r="C21">
        <f>C2/A21</f>
        <v>0.10359999999999998</v>
      </c>
      <c r="D21" s="37">
        <f t="shared" ref="D21:D37" si="0">(C21-B21)/C21*100</f>
        <v>-32.220077220077229</v>
      </c>
    </row>
    <row r="22" spans="1:4" ht="15.5" x14ac:dyDescent="0.35">
      <c r="A22" s="13">
        <v>0.1</v>
      </c>
      <c r="B22">
        <f t="shared" ref="B22:B37" si="1">B3/A22</f>
        <v>7.8699999999999992E-2</v>
      </c>
      <c r="C22">
        <f t="shared" ref="C22:C37" si="2">C3/A22</f>
        <v>6.54E-2</v>
      </c>
      <c r="D22" s="37">
        <f t="shared" si="0"/>
        <v>-20.336391437308858</v>
      </c>
    </row>
    <row r="23" spans="1:4" ht="15.5" x14ac:dyDescent="0.35">
      <c r="A23" s="13">
        <v>0.2</v>
      </c>
      <c r="B23">
        <f t="shared" si="1"/>
        <v>4.7949999999999993E-2</v>
      </c>
      <c r="C23">
        <f t="shared" si="2"/>
        <v>4.2050000000000004E-2</v>
      </c>
      <c r="D23" s="37">
        <f t="shared" si="0"/>
        <v>-14.030915576694383</v>
      </c>
    </row>
    <row r="24" spans="1:4" ht="15.5" x14ac:dyDescent="0.35">
      <c r="A24" s="13">
        <v>0.35</v>
      </c>
      <c r="B24">
        <f t="shared" si="1"/>
        <v>3.6857142857142859E-2</v>
      </c>
      <c r="C24">
        <f t="shared" si="2"/>
        <v>3.1428571428571431E-2</v>
      </c>
      <c r="D24" s="37">
        <f t="shared" si="0"/>
        <v>-17.27272727272727</v>
      </c>
    </row>
    <row r="25" spans="1:4" ht="15.5" x14ac:dyDescent="0.35">
      <c r="A25" s="13">
        <v>0.7</v>
      </c>
      <c r="B25">
        <f t="shared" si="1"/>
        <v>2.6071428571428572E-2</v>
      </c>
      <c r="C25">
        <f t="shared" si="2"/>
        <v>2.242857142857143E-2</v>
      </c>
      <c r="D25" s="37">
        <f t="shared" si="0"/>
        <v>-16.242038216560506</v>
      </c>
    </row>
    <row r="26" spans="1:4" ht="15.5" x14ac:dyDescent="0.35">
      <c r="A26" s="13">
        <v>1</v>
      </c>
      <c r="B26">
        <f t="shared" si="1"/>
        <v>2.2460000000000001E-2</v>
      </c>
      <c r="C26">
        <f t="shared" si="2"/>
        <v>1.9199999999999998E-2</v>
      </c>
      <c r="D26" s="37">
        <f t="shared" si="0"/>
        <v>-16.979166666666682</v>
      </c>
    </row>
    <row r="27" spans="1:4" ht="15.5" x14ac:dyDescent="0.35">
      <c r="A27" s="13">
        <v>2</v>
      </c>
      <c r="B27">
        <f t="shared" si="1"/>
        <v>1.7250000000000001E-2</v>
      </c>
      <c r="C27">
        <f t="shared" si="2"/>
        <v>1.4749999999999999E-2</v>
      </c>
      <c r="D27" s="37">
        <f t="shared" si="0"/>
        <v>-16.949152542372897</v>
      </c>
    </row>
    <row r="28" spans="1:4" ht="15.5" x14ac:dyDescent="0.35">
      <c r="A28" s="13">
        <v>3.5</v>
      </c>
      <c r="B28">
        <f t="shared" si="1"/>
        <v>1.3542857142857143E-2</v>
      </c>
      <c r="C28">
        <f t="shared" si="2"/>
        <v>1.1399999999999999E-2</v>
      </c>
      <c r="D28" s="37">
        <f t="shared" si="0"/>
        <v>-18.796992481203024</v>
      </c>
    </row>
    <row r="29" spans="1:4" ht="15.5" x14ac:dyDescent="0.35">
      <c r="A29" s="13">
        <v>7</v>
      </c>
      <c r="B29">
        <f t="shared" si="1"/>
        <v>1.0385714285714286E-2</v>
      </c>
      <c r="C29">
        <f t="shared" si="2"/>
        <v>8.7571428571428574E-3</v>
      </c>
      <c r="D29" s="37">
        <f t="shared" si="0"/>
        <v>-18.597063621533444</v>
      </c>
    </row>
    <row r="30" spans="1:4" ht="15.5" x14ac:dyDescent="0.35">
      <c r="A30" s="13">
        <v>10</v>
      </c>
      <c r="B30">
        <f t="shared" si="1"/>
        <v>9.0359999999999989E-3</v>
      </c>
      <c r="C30">
        <f t="shared" si="2"/>
        <v>7.7600000000000004E-3</v>
      </c>
      <c r="D30" s="37">
        <f t="shared" si="0"/>
        <v>-16.443298969072146</v>
      </c>
    </row>
    <row r="31" spans="1:4" ht="15.5" x14ac:dyDescent="0.35">
      <c r="A31" s="13">
        <v>20</v>
      </c>
      <c r="B31">
        <f t="shared" si="1"/>
        <v>7.2499999999999995E-3</v>
      </c>
      <c r="C31">
        <f t="shared" si="2"/>
        <v>6.3E-3</v>
      </c>
      <c r="D31" s="37">
        <f t="shared" si="0"/>
        <v>-15.07936507936507</v>
      </c>
    </row>
    <row r="32" spans="1:4" ht="15.5" x14ac:dyDescent="0.35">
      <c r="A32" s="13">
        <v>35</v>
      </c>
      <c r="B32">
        <f t="shared" si="1"/>
        <v>6.2285714285714288E-3</v>
      </c>
      <c r="C32">
        <f t="shared" si="2"/>
        <v>5.4571428571428575E-3</v>
      </c>
      <c r="D32" s="37">
        <f t="shared" si="0"/>
        <v>-14.136125654450261</v>
      </c>
    </row>
    <row r="33" spans="1:4" ht="15.5" x14ac:dyDescent="0.35">
      <c r="A33" s="13">
        <v>70</v>
      </c>
      <c r="B33">
        <f t="shared" si="1"/>
        <v>5.2571428571428569E-3</v>
      </c>
      <c r="C33">
        <f t="shared" si="2"/>
        <v>4.642857142857143E-3</v>
      </c>
      <c r="D33" s="37">
        <f t="shared" si="0"/>
        <v>-13.230769230769221</v>
      </c>
    </row>
    <row r="34" spans="1:4" ht="15.5" x14ac:dyDescent="0.35">
      <c r="A34" s="13">
        <v>100</v>
      </c>
      <c r="B34">
        <f t="shared" si="1"/>
        <v>4.8760000000000001E-3</v>
      </c>
      <c r="C34">
        <f t="shared" si="2"/>
        <v>4.3400000000000001E-3</v>
      </c>
      <c r="D34" s="37">
        <f t="shared" si="0"/>
        <v>-12.350230414746544</v>
      </c>
    </row>
    <row r="35" spans="1:4" ht="15.5" x14ac:dyDescent="0.35">
      <c r="A35" s="13">
        <v>200</v>
      </c>
      <c r="B35">
        <f t="shared" si="1"/>
        <v>4.3499999999999997E-3</v>
      </c>
      <c r="C35">
        <f t="shared" si="2"/>
        <v>3.9150000000000001E-3</v>
      </c>
      <c r="D35" s="37">
        <f t="shared" si="0"/>
        <v>-11.1111111111111</v>
      </c>
    </row>
    <row r="36" spans="1:4" ht="15.5" x14ac:dyDescent="0.35">
      <c r="A36" s="13">
        <v>350</v>
      </c>
      <c r="B36">
        <f t="shared" si="1"/>
        <v>4.0571428571428573E-3</v>
      </c>
      <c r="C36">
        <f t="shared" si="2"/>
        <v>3.7142857142857142E-3</v>
      </c>
      <c r="D36" s="37">
        <f t="shared" si="0"/>
        <v>-9.2307692307692353</v>
      </c>
    </row>
    <row r="37" spans="1:4" ht="15.5" x14ac:dyDescent="0.35">
      <c r="A37" s="13">
        <v>700</v>
      </c>
      <c r="B37">
        <f t="shared" si="1"/>
        <v>3.9285714285714288E-3</v>
      </c>
      <c r="C37">
        <f t="shared" si="2"/>
        <v>3.8714285714285712E-3</v>
      </c>
      <c r="D37" s="37">
        <f t="shared" si="0"/>
        <v>-1.4760147601476135</v>
      </c>
    </row>
    <row r="38" spans="1:4" x14ac:dyDescent="0.35">
      <c r="D38" s="38">
        <f>AVERAGE(D21:D37)</f>
        <v>-15.557777028563263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6290-C844-4B6F-9184-14D92674DAE3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5.5399999999999998E-3</v>
      </c>
      <c r="C2">
        <v>5.5900000000000004E-3</v>
      </c>
    </row>
    <row r="3" spans="1:3" ht="15.5" x14ac:dyDescent="0.35">
      <c r="A3" s="13">
        <v>0.1</v>
      </c>
      <c r="B3">
        <v>7.5399999999999998E-3</v>
      </c>
      <c r="C3">
        <v>6.8900000000000003E-3</v>
      </c>
    </row>
    <row r="4" spans="1:3" ht="15.5" x14ac:dyDescent="0.35">
      <c r="A4" s="13">
        <v>0.2</v>
      </c>
      <c r="B4">
        <v>1.01E-2</v>
      </c>
      <c r="C4">
        <v>8.94E-3</v>
      </c>
    </row>
    <row r="5" spans="1:3" ht="15.5" x14ac:dyDescent="0.35">
      <c r="A5" s="13">
        <v>0.35</v>
      </c>
      <c r="B5">
        <v>1.2800000000000001E-2</v>
      </c>
      <c r="C5">
        <v>1.1599999999999999E-2</v>
      </c>
    </row>
    <row r="6" spans="1:3" ht="15.5" x14ac:dyDescent="0.35">
      <c r="A6" s="13">
        <v>0.7</v>
      </c>
      <c r="B6">
        <v>1.7600000000000001E-2</v>
      </c>
      <c r="C6">
        <v>1.6299999999999999E-2</v>
      </c>
    </row>
    <row r="7" spans="1:3" ht="15.5" x14ac:dyDescent="0.35">
      <c r="A7" s="13">
        <v>1</v>
      </c>
      <c r="B7">
        <v>2.1600000000000001E-2</v>
      </c>
      <c r="C7">
        <v>1.9699999999999999E-2</v>
      </c>
    </row>
    <row r="8" spans="1:3" ht="15.5" x14ac:dyDescent="0.35">
      <c r="A8" s="13">
        <v>2</v>
      </c>
      <c r="B8">
        <v>3.1600000000000003E-2</v>
      </c>
      <c r="C8">
        <v>2.9000000000000001E-2</v>
      </c>
    </row>
    <row r="9" spans="1:3" ht="15.5" x14ac:dyDescent="0.35">
      <c r="A9" s="13">
        <v>3.5</v>
      </c>
      <c r="B9">
        <v>4.3299999999999998E-2</v>
      </c>
      <c r="C9">
        <v>3.9899999999999998E-2</v>
      </c>
    </row>
    <row r="10" spans="1:3" ht="15.5" x14ac:dyDescent="0.35">
      <c r="A10" s="13">
        <v>7</v>
      </c>
      <c r="B10">
        <v>6.3799999999999996E-2</v>
      </c>
      <c r="C10">
        <v>5.9450000000000003E-2</v>
      </c>
    </row>
    <row r="11" spans="1:3" ht="15.5" x14ac:dyDescent="0.35">
      <c r="A11" s="13">
        <v>10</v>
      </c>
      <c r="B11">
        <v>8.0399999999999999E-2</v>
      </c>
      <c r="C11">
        <v>7.51E-2</v>
      </c>
    </row>
    <row r="12" spans="1:3" ht="15.5" x14ac:dyDescent="0.35">
      <c r="A12" s="13">
        <v>20</v>
      </c>
      <c r="B12">
        <v>0.129</v>
      </c>
      <c r="C12">
        <v>0.1208</v>
      </c>
    </row>
    <row r="13" spans="1:3" ht="15.5" x14ac:dyDescent="0.35">
      <c r="A13" s="13">
        <v>35</v>
      </c>
      <c r="B13">
        <v>0.19170000000000001</v>
      </c>
      <c r="C13">
        <v>0.18</v>
      </c>
    </row>
    <row r="14" spans="1:3" ht="15.5" x14ac:dyDescent="0.35">
      <c r="A14" s="13">
        <v>70</v>
      </c>
      <c r="B14">
        <v>0.32400000000000001</v>
      </c>
      <c r="C14">
        <v>0.30299999999999999</v>
      </c>
    </row>
    <row r="15" spans="1:3" ht="15.5" x14ac:dyDescent="0.35">
      <c r="A15" s="13">
        <v>100</v>
      </c>
      <c r="B15">
        <v>0.433</v>
      </c>
      <c r="C15">
        <v>0.40300000000000002</v>
      </c>
    </row>
    <row r="16" spans="1:3" ht="15.5" x14ac:dyDescent="0.35">
      <c r="A16" s="13">
        <v>200</v>
      </c>
      <c r="B16">
        <v>0.79469999999999996</v>
      </c>
      <c r="C16">
        <v>0.73440000000000005</v>
      </c>
    </row>
    <row r="17" spans="1:4" ht="15.5" x14ac:dyDescent="0.35">
      <c r="A17" s="13">
        <v>350</v>
      </c>
      <c r="B17">
        <v>1.367</v>
      </c>
      <c r="C17">
        <v>1.2250000000000001</v>
      </c>
    </row>
    <row r="18" spans="1:4" ht="15.5" x14ac:dyDescent="0.35">
      <c r="A18" s="13">
        <v>700</v>
      </c>
      <c r="B18">
        <v>2.69</v>
      </c>
      <c r="C18">
        <v>2.57</v>
      </c>
    </row>
    <row r="20" spans="1:4" ht="15.5" x14ac:dyDescent="0.35">
      <c r="A20" s="14" t="s">
        <v>0</v>
      </c>
      <c r="B20" t="s">
        <v>51</v>
      </c>
      <c r="C20" t="s">
        <v>51</v>
      </c>
      <c r="D20" s="36" t="s">
        <v>55</v>
      </c>
    </row>
    <row r="21" spans="1:4" ht="15.5" x14ac:dyDescent="0.35">
      <c r="A21" s="12">
        <v>0.05</v>
      </c>
      <c r="B21">
        <f>B2/A21</f>
        <v>0.1108</v>
      </c>
      <c r="C21">
        <f>C2/A21</f>
        <v>0.1118</v>
      </c>
      <c r="D21" s="37">
        <f t="shared" ref="D21:D37" si="0">(C21-B21)/C21*100</f>
        <v>0.89445438282647671</v>
      </c>
    </row>
    <row r="22" spans="1:4" ht="15.5" x14ac:dyDescent="0.35">
      <c r="A22" s="13">
        <v>0.1</v>
      </c>
      <c r="B22">
        <f t="shared" ref="B22:B37" si="1">B3/A22</f>
        <v>7.5399999999999995E-2</v>
      </c>
      <c r="C22">
        <f t="shared" ref="C22:C37" si="2">C3/A22</f>
        <v>6.8900000000000003E-2</v>
      </c>
      <c r="D22" s="37">
        <f t="shared" si="0"/>
        <v>-9.4339622641509315</v>
      </c>
    </row>
    <row r="23" spans="1:4" ht="15.5" x14ac:dyDescent="0.35">
      <c r="A23" s="13">
        <v>0.2</v>
      </c>
      <c r="B23">
        <f t="shared" si="1"/>
        <v>5.0499999999999996E-2</v>
      </c>
      <c r="C23">
        <f t="shared" si="2"/>
        <v>4.4699999999999997E-2</v>
      </c>
      <c r="D23" s="37">
        <f t="shared" si="0"/>
        <v>-12.975391498881431</v>
      </c>
    </row>
    <row r="24" spans="1:4" ht="15.5" x14ac:dyDescent="0.35">
      <c r="A24" s="13">
        <v>0.35</v>
      </c>
      <c r="B24">
        <f t="shared" si="1"/>
        <v>3.6571428571428574E-2</v>
      </c>
      <c r="C24">
        <f t="shared" si="2"/>
        <v>3.3142857142857141E-2</v>
      </c>
      <c r="D24" s="37">
        <f t="shared" si="0"/>
        <v>-10.344827586206913</v>
      </c>
    </row>
    <row r="25" spans="1:4" ht="15.5" x14ac:dyDescent="0.35">
      <c r="A25" s="13">
        <v>0.7</v>
      </c>
      <c r="B25">
        <f t="shared" si="1"/>
        <v>2.5142857142857147E-2</v>
      </c>
      <c r="C25">
        <f t="shared" si="2"/>
        <v>2.3285714285714285E-2</v>
      </c>
      <c r="D25" s="37">
        <f t="shared" si="0"/>
        <v>-7.9754601226994115</v>
      </c>
    </row>
    <row r="26" spans="1:4" ht="15.5" x14ac:dyDescent="0.35">
      <c r="A26" s="13">
        <v>1</v>
      </c>
      <c r="B26">
        <f t="shared" si="1"/>
        <v>2.1600000000000001E-2</v>
      </c>
      <c r="C26">
        <f t="shared" si="2"/>
        <v>1.9699999999999999E-2</v>
      </c>
      <c r="D26" s="37">
        <f t="shared" si="0"/>
        <v>-9.6446700507614338</v>
      </c>
    </row>
    <row r="27" spans="1:4" ht="15.5" x14ac:dyDescent="0.35">
      <c r="A27" s="13">
        <v>2</v>
      </c>
      <c r="B27">
        <f t="shared" si="1"/>
        <v>1.5800000000000002E-2</v>
      </c>
      <c r="C27">
        <f t="shared" si="2"/>
        <v>1.4500000000000001E-2</v>
      </c>
      <c r="D27" s="37">
        <f t="shared" si="0"/>
        <v>-8.9655172413793149</v>
      </c>
    </row>
    <row r="28" spans="1:4" ht="15.5" x14ac:dyDescent="0.35">
      <c r="A28" s="13">
        <v>3.5</v>
      </c>
      <c r="B28">
        <f t="shared" si="1"/>
        <v>1.2371428571428571E-2</v>
      </c>
      <c r="C28">
        <f t="shared" si="2"/>
        <v>1.1399999999999999E-2</v>
      </c>
      <c r="D28" s="37">
        <f t="shared" si="0"/>
        <v>-8.5213032581453749</v>
      </c>
    </row>
    <row r="29" spans="1:4" ht="15.5" x14ac:dyDescent="0.35">
      <c r="A29" s="13">
        <v>7</v>
      </c>
      <c r="B29">
        <f t="shared" si="1"/>
        <v>9.1142857142857137E-3</v>
      </c>
      <c r="C29">
        <f t="shared" si="2"/>
        <v>8.492857142857144E-3</v>
      </c>
      <c r="D29" s="37">
        <f t="shared" si="0"/>
        <v>-7.3170731707316863</v>
      </c>
    </row>
    <row r="30" spans="1:4" ht="15.5" x14ac:dyDescent="0.35">
      <c r="A30" s="13">
        <v>10</v>
      </c>
      <c r="B30">
        <f t="shared" si="1"/>
        <v>8.0400000000000003E-3</v>
      </c>
      <c r="C30">
        <f t="shared" si="2"/>
        <v>7.5100000000000002E-3</v>
      </c>
      <c r="D30" s="37">
        <f t="shared" si="0"/>
        <v>-7.057256990679095</v>
      </c>
    </row>
    <row r="31" spans="1:4" ht="15.5" x14ac:dyDescent="0.35">
      <c r="A31" s="13">
        <v>20</v>
      </c>
      <c r="B31">
        <f t="shared" si="1"/>
        <v>6.45E-3</v>
      </c>
      <c r="C31">
        <f t="shared" si="2"/>
        <v>6.0400000000000002E-3</v>
      </c>
      <c r="D31" s="37">
        <f t="shared" si="0"/>
        <v>-6.7880794701986709</v>
      </c>
    </row>
    <row r="32" spans="1:4" ht="15.5" x14ac:dyDescent="0.35">
      <c r="A32" s="13">
        <v>35</v>
      </c>
      <c r="B32">
        <f t="shared" si="1"/>
        <v>5.4771428571428575E-3</v>
      </c>
      <c r="C32">
        <f t="shared" si="2"/>
        <v>5.1428571428571426E-3</v>
      </c>
      <c r="D32" s="37">
        <f t="shared" si="0"/>
        <v>-6.5000000000000124</v>
      </c>
    </row>
    <row r="33" spans="1:4" ht="15.5" x14ac:dyDescent="0.35">
      <c r="A33" s="13">
        <v>70</v>
      </c>
      <c r="B33">
        <f t="shared" si="1"/>
        <v>4.6285714285714289E-3</v>
      </c>
      <c r="C33">
        <f t="shared" si="2"/>
        <v>4.3285714285714282E-3</v>
      </c>
      <c r="D33" s="37">
        <f t="shared" si="0"/>
        <v>-6.9306930693069493</v>
      </c>
    </row>
    <row r="34" spans="1:4" ht="15.5" x14ac:dyDescent="0.35">
      <c r="A34" s="13">
        <v>100</v>
      </c>
      <c r="B34">
        <f t="shared" si="1"/>
        <v>4.3299999999999996E-3</v>
      </c>
      <c r="C34">
        <f t="shared" si="2"/>
        <v>4.0300000000000006E-3</v>
      </c>
      <c r="D34" s="37">
        <f t="shared" si="0"/>
        <v>-7.4441687344912912</v>
      </c>
    </row>
    <row r="35" spans="1:4" ht="15.5" x14ac:dyDescent="0.35">
      <c r="A35" s="13">
        <v>200</v>
      </c>
      <c r="B35">
        <f t="shared" si="1"/>
        <v>3.9734999999999996E-3</v>
      </c>
      <c r="C35">
        <f t="shared" si="2"/>
        <v>3.6720000000000004E-3</v>
      </c>
      <c r="D35" s="37">
        <f t="shared" si="0"/>
        <v>-8.210784313725469</v>
      </c>
    </row>
    <row r="36" spans="1:4" ht="15.5" x14ac:dyDescent="0.35">
      <c r="A36" s="13">
        <v>350</v>
      </c>
      <c r="B36">
        <f t="shared" si="1"/>
        <v>3.9057142857142858E-3</v>
      </c>
      <c r="C36">
        <f t="shared" si="2"/>
        <v>3.5000000000000001E-3</v>
      </c>
      <c r="D36" s="37">
        <f t="shared" si="0"/>
        <v>-11.591836734693878</v>
      </c>
    </row>
    <row r="37" spans="1:4" ht="15.5" x14ac:dyDescent="0.35">
      <c r="A37" s="13">
        <v>700</v>
      </c>
      <c r="B37">
        <f t="shared" si="1"/>
        <v>3.8428571428571427E-3</v>
      </c>
      <c r="C37">
        <f t="shared" si="2"/>
        <v>3.6714285714285711E-3</v>
      </c>
      <c r="D37" s="37">
        <f t="shared" si="0"/>
        <v>-4.6692607003891071</v>
      </c>
    </row>
    <row r="38" spans="1:4" x14ac:dyDescent="0.35">
      <c r="D38" s="38">
        <f>AVERAGE(D21:D37)</f>
        <v>-7.8515194602126179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76EC-A074-4010-8C54-EBC61F23D6AD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8.2159999999999993E-3</v>
      </c>
      <c r="C2">
        <v>4.5599999999999998E-3</v>
      </c>
    </row>
    <row r="3" spans="1:3" ht="15.5" x14ac:dyDescent="0.35">
      <c r="A3" s="13">
        <v>0.1</v>
      </c>
      <c r="B3">
        <v>1.189E-2</v>
      </c>
      <c r="C3">
        <v>6.9499999999999996E-3</v>
      </c>
    </row>
    <row r="4" spans="1:3" ht="15.5" x14ac:dyDescent="0.35">
      <c r="A4" s="13">
        <v>0.2</v>
      </c>
      <c r="B4">
        <v>1.6379999999999999E-2</v>
      </c>
      <c r="C4">
        <v>9.2599999999999991E-3</v>
      </c>
    </row>
    <row r="5" spans="1:3" ht="15.5" x14ac:dyDescent="0.35">
      <c r="A5" s="13">
        <v>0.35</v>
      </c>
      <c r="B5">
        <v>1.975E-2</v>
      </c>
      <c r="C5">
        <v>1.15E-2</v>
      </c>
    </row>
    <row r="6" spans="1:3" ht="15.5" x14ac:dyDescent="0.35">
      <c r="A6" s="13">
        <v>0.7</v>
      </c>
      <c r="B6">
        <v>2.76E-2</v>
      </c>
      <c r="C6">
        <v>1.6899999999999998E-2</v>
      </c>
    </row>
    <row r="7" spans="1:3" ht="15.5" x14ac:dyDescent="0.35">
      <c r="A7" s="13">
        <v>1</v>
      </c>
      <c r="B7">
        <v>3.2300000000000002E-2</v>
      </c>
      <c r="C7">
        <v>2.1499999999999998E-2</v>
      </c>
    </row>
    <row r="8" spans="1:3" ht="15.5" x14ac:dyDescent="0.35">
      <c r="A8" s="13">
        <v>2</v>
      </c>
      <c r="B8">
        <v>4.4600000000000001E-2</v>
      </c>
      <c r="C8">
        <v>3.1199999999999999E-2</v>
      </c>
    </row>
    <row r="9" spans="1:3" ht="15.5" x14ac:dyDescent="0.35">
      <c r="A9" s="13">
        <v>3.5</v>
      </c>
      <c r="B9">
        <v>6.0359999999999997E-2</v>
      </c>
      <c r="C9">
        <v>4.3900000000000002E-2</v>
      </c>
    </row>
    <row r="10" spans="1:3" ht="15.5" x14ac:dyDescent="0.35">
      <c r="A10" s="13">
        <v>7</v>
      </c>
      <c r="B10">
        <v>8.77E-2</v>
      </c>
      <c r="C10">
        <v>6.6299999999999998E-2</v>
      </c>
    </row>
    <row r="11" spans="1:3" ht="15.5" x14ac:dyDescent="0.35">
      <c r="A11" s="13">
        <v>10</v>
      </c>
      <c r="B11">
        <v>0.108</v>
      </c>
      <c r="C11">
        <v>8.5110000000000005E-2</v>
      </c>
    </row>
    <row r="12" spans="1:3" ht="15.5" x14ac:dyDescent="0.35">
      <c r="A12" s="13">
        <v>20</v>
      </c>
      <c r="B12">
        <v>0.17169999999999999</v>
      </c>
      <c r="C12">
        <v>0.13700000000000001</v>
      </c>
    </row>
    <row r="13" spans="1:3" ht="15.5" x14ac:dyDescent="0.35">
      <c r="A13" s="13">
        <v>35</v>
      </c>
      <c r="B13">
        <v>0.25459999999999999</v>
      </c>
      <c r="C13">
        <v>0.2107</v>
      </c>
    </row>
    <row r="14" spans="1:3" ht="15.5" x14ac:dyDescent="0.35">
      <c r="A14" s="13">
        <v>70</v>
      </c>
      <c r="B14">
        <v>0.42799999999999999</v>
      </c>
      <c r="C14">
        <v>0.36199999999999999</v>
      </c>
    </row>
    <row r="15" spans="1:3" ht="15.5" x14ac:dyDescent="0.35">
      <c r="A15" s="13">
        <v>100</v>
      </c>
      <c r="B15">
        <v>0.57240000000000002</v>
      </c>
      <c r="C15">
        <v>0.4839</v>
      </c>
    </row>
    <row r="16" spans="1:3" ht="15.5" x14ac:dyDescent="0.35">
      <c r="A16" s="13">
        <v>200</v>
      </c>
      <c r="B16">
        <v>1.044</v>
      </c>
      <c r="C16">
        <v>0.871</v>
      </c>
    </row>
    <row r="17" spans="1:4" ht="15.5" x14ac:dyDescent="0.35">
      <c r="A17" s="13">
        <v>350</v>
      </c>
      <c r="B17">
        <v>1.74</v>
      </c>
      <c r="C17">
        <v>1.44</v>
      </c>
    </row>
    <row r="18" spans="1:4" ht="15.5" x14ac:dyDescent="0.35">
      <c r="A18" s="13">
        <v>700</v>
      </c>
      <c r="B18">
        <v>3.35</v>
      </c>
      <c r="C18">
        <v>2.847</v>
      </c>
    </row>
    <row r="20" spans="1:4" ht="15.5" x14ac:dyDescent="0.35">
      <c r="A20" s="14" t="s">
        <v>0</v>
      </c>
      <c r="B20" t="s">
        <v>51</v>
      </c>
      <c r="C20" t="s">
        <v>51</v>
      </c>
      <c r="D20" s="39" t="s">
        <v>46</v>
      </c>
    </row>
    <row r="21" spans="1:4" ht="15.5" x14ac:dyDescent="0.35">
      <c r="A21" s="12">
        <v>0.05</v>
      </c>
      <c r="B21">
        <f>B2/A21</f>
        <v>0.16431999999999997</v>
      </c>
      <c r="C21">
        <f>C2/A21</f>
        <v>9.1199999999999989E-2</v>
      </c>
      <c r="D21" s="39">
        <f>(C21-B21)/C21*100</f>
        <v>-80.175438596491205</v>
      </c>
    </row>
    <row r="22" spans="1:4" ht="15.5" x14ac:dyDescent="0.35">
      <c r="A22" s="13">
        <v>0.1</v>
      </c>
      <c r="B22">
        <f t="shared" ref="B22:B37" si="0">B3/A22</f>
        <v>0.11889999999999999</v>
      </c>
      <c r="C22">
        <f t="shared" ref="C22:C37" si="1">C3/A22</f>
        <v>6.9499999999999992E-2</v>
      </c>
      <c r="D22" s="39">
        <f t="shared" ref="D22:D37" si="2">(C22-B22)/C22*100</f>
        <v>-71.079136690647488</v>
      </c>
    </row>
    <row r="23" spans="1:4" ht="15.5" x14ac:dyDescent="0.35">
      <c r="A23" s="13">
        <v>0.2</v>
      </c>
      <c r="B23">
        <f t="shared" si="0"/>
        <v>8.1899999999999987E-2</v>
      </c>
      <c r="C23">
        <f t="shared" si="1"/>
        <v>4.6299999999999994E-2</v>
      </c>
      <c r="D23" s="39">
        <f t="shared" si="2"/>
        <v>-76.889848812095025</v>
      </c>
    </row>
    <row r="24" spans="1:4" ht="15.5" x14ac:dyDescent="0.35">
      <c r="A24" s="13">
        <v>0.35</v>
      </c>
      <c r="B24">
        <f t="shared" si="0"/>
        <v>5.6428571428571432E-2</v>
      </c>
      <c r="C24">
        <f t="shared" si="1"/>
        <v>3.2857142857142856E-2</v>
      </c>
      <c r="D24" s="39">
        <f t="shared" si="2"/>
        <v>-71.739130434782624</v>
      </c>
    </row>
    <row r="25" spans="1:4" ht="15.5" x14ac:dyDescent="0.35">
      <c r="A25" s="13">
        <v>0.7</v>
      </c>
      <c r="B25">
        <f t="shared" si="0"/>
        <v>3.9428571428571431E-2</v>
      </c>
      <c r="C25">
        <f t="shared" si="1"/>
        <v>2.4142857142857143E-2</v>
      </c>
      <c r="D25" s="39">
        <f t="shared" si="2"/>
        <v>-63.313609467455635</v>
      </c>
    </row>
    <row r="26" spans="1:4" ht="15.5" x14ac:dyDescent="0.35">
      <c r="A26" s="13">
        <v>1</v>
      </c>
      <c r="B26">
        <f t="shared" si="0"/>
        <v>3.2300000000000002E-2</v>
      </c>
      <c r="C26">
        <f t="shared" si="1"/>
        <v>2.1499999999999998E-2</v>
      </c>
      <c r="D26" s="39">
        <f t="shared" si="2"/>
        <v>-50.232558139534909</v>
      </c>
    </row>
    <row r="27" spans="1:4" ht="15.5" x14ac:dyDescent="0.35">
      <c r="A27" s="13">
        <v>2</v>
      </c>
      <c r="B27">
        <f t="shared" si="0"/>
        <v>2.23E-2</v>
      </c>
      <c r="C27">
        <f t="shared" si="1"/>
        <v>1.5599999999999999E-2</v>
      </c>
      <c r="D27" s="39">
        <f t="shared" si="2"/>
        <v>-42.948717948717956</v>
      </c>
    </row>
    <row r="28" spans="1:4" ht="15.5" x14ac:dyDescent="0.35">
      <c r="A28" s="13">
        <v>3.5</v>
      </c>
      <c r="B28">
        <f t="shared" si="0"/>
        <v>1.7245714285714284E-2</v>
      </c>
      <c r="C28">
        <f t="shared" si="1"/>
        <v>1.2542857142857144E-2</v>
      </c>
      <c r="D28" s="39">
        <f t="shared" si="2"/>
        <v>-37.49430523917993</v>
      </c>
    </row>
    <row r="29" spans="1:4" ht="15.5" x14ac:dyDescent="0.35">
      <c r="A29" s="13">
        <v>7</v>
      </c>
      <c r="B29">
        <f t="shared" si="0"/>
        <v>1.2528571428571429E-2</v>
      </c>
      <c r="C29">
        <f t="shared" si="1"/>
        <v>9.4714285714285716E-3</v>
      </c>
      <c r="D29" s="39">
        <f t="shared" si="2"/>
        <v>-32.277526395173453</v>
      </c>
    </row>
    <row r="30" spans="1:4" ht="15.5" x14ac:dyDescent="0.35">
      <c r="A30" s="13">
        <v>10</v>
      </c>
      <c r="B30">
        <f t="shared" si="0"/>
        <v>1.0800000000000001E-2</v>
      </c>
      <c r="C30">
        <f t="shared" si="1"/>
        <v>8.5110000000000012E-3</v>
      </c>
      <c r="D30" s="39">
        <f t="shared" si="2"/>
        <v>-26.894606979203374</v>
      </c>
    </row>
    <row r="31" spans="1:4" ht="15.5" x14ac:dyDescent="0.35">
      <c r="A31" s="13">
        <v>20</v>
      </c>
      <c r="B31">
        <f t="shared" si="0"/>
        <v>8.5849999999999989E-3</v>
      </c>
      <c r="C31">
        <f t="shared" si="1"/>
        <v>6.8500000000000002E-3</v>
      </c>
      <c r="D31" s="39">
        <f t="shared" si="2"/>
        <v>-25.328467153284649</v>
      </c>
    </row>
    <row r="32" spans="1:4" ht="15.5" x14ac:dyDescent="0.35">
      <c r="A32" s="13">
        <v>35</v>
      </c>
      <c r="B32">
        <f t="shared" si="0"/>
        <v>7.274285714285714E-3</v>
      </c>
      <c r="C32">
        <f t="shared" si="1"/>
        <v>6.0200000000000002E-3</v>
      </c>
      <c r="D32" s="39">
        <f t="shared" si="2"/>
        <v>-20.835310868533451</v>
      </c>
    </row>
    <row r="33" spans="1:4" ht="15.5" x14ac:dyDescent="0.35">
      <c r="A33" s="13">
        <v>70</v>
      </c>
      <c r="B33">
        <f t="shared" si="0"/>
        <v>6.1142857142857145E-3</v>
      </c>
      <c r="C33">
        <f t="shared" si="1"/>
        <v>5.1714285714285716E-3</v>
      </c>
      <c r="D33" s="39">
        <f t="shared" si="2"/>
        <v>-18.232044198895029</v>
      </c>
    </row>
    <row r="34" spans="1:4" ht="15.5" x14ac:dyDescent="0.35">
      <c r="A34" s="13">
        <v>100</v>
      </c>
      <c r="B34">
        <f t="shared" si="0"/>
        <v>5.7239999999999999E-3</v>
      </c>
      <c r="C34">
        <f t="shared" si="1"/>
        <v>4.8389999999999996E-3</v>
      </c>
      <c r="D34" s="39">
        <f t="shared" si="2"/>
        <v>-18.288902665840059</v>
      </c>
    </row>
    <row r="35" spans="1:4" ht="15.5" x14ac:dyDescent="0.35">
      <c r="A35" s="13">
        <v>200</v>
      </c>
      <c r="B35">
        <f t="shared" si="0"/>
        <v>5.2199999999999998E-3</v>
      </c>
      <c r="C35">
        <f t="shared" si="1"/>
        <v>4.3550000000000004E-3</v>
      </c>
      <c r="D35" s="39">
        <f t="shared" si="2"/>
        <v>-19.862227324913878</v>
      </c>
    </row>
    <row r="36" spans="1:4" ht="15.5" x14ac:dyDescent="0.35">
      <c r="A36" s="13">
        <v>350</v>
      </c>
      <c r="B36">
        <f t="shared" si="0"/>
        <v>4.9714285714285711E-3</v>
      </c>
      <c r="C36">
        <f t="shared" si="1"/>
        <v>4.1142857142857144E-3</v>
      </c>
      <c r="D36" s="39">
        <f t="shared" si="2"/>
        <v>-20.833333333333321</v>
      </c>
    </row>
    <row r="37" spans="1:4" ht="15.5" x14ac:dyDescent="0.35">
      <c r="A37" s="13">
        <v>700</v>
      </c>
      <c r="B37">
        <f t="shared" si="0"/>
        <v>4.7857142857142855E-3</v>
      </c>
      <c r="C37">
        <f t="shared" si="1"/>
        <v>4.0671428571428568E-3</v>
      </c>
      <c r="D37" s="39">
        <f t="shared" si="2"/>
        <v>-17.667720407446438</v>
      </c>
    </row>
    <row r="38" spans="1:4" x14ac:dyDescent="0.35">
      <c r="D38" s="40">
        <f>AVERAGE(D21:D37)</f>
        <v>-40.828993215031083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8A2-1FD8-43C0-A18C-44CC841BAF3B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>
        <v>0.05</v>
      </c>
      <c r="B2">
        <v>6.5300000000000002E-3</v>
      </c>
      <c r="C2">
        <v>6.9199999999999999E-3</v>
      </c>
    </row>
    <row r="3" spans="1:3" ht="15.5" x14ac:dyDescent="0.35">
      <c r="A3" s="13">
        <v>0.1</v>
      </c>
      <c r="B3">
        <v>8.4399999999999996E-3</v>
      </c>
      <c r="C3">
        <v>8.6199999999999992E-3</v>
      </c>
    </row>
    <row r="4" spans="1:3" ht="15.5" x14ac:dyDescent="0.35">
      <c r="A4" s="13">
        <v>0.2</v>
      </c>
      <c r="B4">
        <v>9.8600000000000007E-3</v>
      </c>
      <c r="C4">
        <v>1.15E-2</v>
      </c>
    </row>
    <row r="5" spans="1:3" ht="15.5" x14ac:dyDescent="0.35">
      <c r="A5" s="13">
        <v>0.35</v>
      </c>
      <c r="B5">
        <v>1.37E-2</v>
      </c>
      <c r="C5">
        <v>1.46E-2</v>
      </c>
    </row>
    <row r="6" spans="1:3" ht="15.5" x14ac:dyDescent="0.35">
      <c r="A6" s="13">
        <v>0.7</v>
      </c>
      <c r="B6">
        <v>2.0199999999999999E-2</v>
      </c>
      <c r="C6">
        <v>2.0299999999999999E-2</v>
      </c>
    </row>
    <row r="7" spans="1:3" ht="15.5" x14ac:dyDescent="0.35">
      <c r="A7" s="13">
        <v>1</v>
      </c>
      <c r="B7">
        <v>2.3400000000000001E-2</v>
      </c>
      <c r="C7">
        <v>2.4199999999999999E-2</v>
      </c>
    </row>
    <row r="8" spans="1:3" ht="15.5" x14ac:dyDescent="0.35">
      <c r="A8" s="13">
        <v>2</v>
      </c>
      <c r="C8">
        <v>3.5299999999999998E-2</v>
      </c>
    </row>
    <row r="9" spans="1:3" ht="15.5" x14ac:dyDescent="0.35">
      <c r="A9" s="13">
        <v>3.5</v>
      </c>
      <c r="B9">
        <v>5.5300000000000002E-2</v>
      </c>
      <c r="C9">
        <v>4.8099999999999997E-2</v>
      </c>
    </row>
    <row r="10" spans="1:3" ht="15.5" x14ac:dyDescent="0.35">
      <c r="A10" s="13">
        <v>7</v>
      </c>
      <c r="B10">
        <v>8.5699999999999998E-2</v>
      </c>
      <c r="C10">
        <v>7.17E-2</v>
      </c>
    </row>
    <row r="11" spans="1:3" ht="15.5" x14ac:dyDescent="0.35">
      <c r="A11" s="13">
        <v>10</v>
      </c>
      <c r="B11">
        <v>0.114</v>
      </c>
      <c r="C11">
        <v>9.0999999999999998E-2</v>
      </c>
    </row>
    <row r="12" spans="1:3" ht="15.5" x14ac:dyDescent="0.35">
      <c r="A12" s="13">
        <v>20</v>
      </c>
      <c r="B12">
        <v>0.17499999999999999</v>
      </c>
      <c r="C12">
        <v>0.14499999999999999</v>
      </c>
    </row>
    <row r="13" spans="1:3" ht="15.5" x14ac:dyDescent="0.35">
      <c r="A13" s="13">
        <v>35</v>
      </c>
      <c r="B13">
        <v>0.26400000000000001</v>
      </c>
      <c r="C13">
        <v>0.218</v>
      </c>
    </row>
    <row r="14" spans="1:3" ht="15.5" x14ac:dyDescent="0.35">
      <c r="A14" s="13">
        <v>70</v>
      </c>
      <c r="B14">
        <v>0.40799999999999997</v>
      </c>
      <c r="C14">
        <v>0.37</v>
      </c>
    </row>
    <row r="15" spans="1:3" ht="15.5" x14ac:dyDescent="0.35">
      <c r="A15" s="13">
        <v>100</v>
      </c>
      <c r="B15">
        <v>0.53300000000000003</v>
      </c>
      <c r="C15">
        <v>0.49299999999999999</v>
      </c>
    </row>
    <row r="16" spans="1:3" ht="15.5" x14ac:dyDescent="0.35">
      <c r="A16" s="13">
        <v>200</v>
      </c>
      <c r="B16">
        <v>0.92800000000000005</v>
      </c>
      <c r="C16">
        <v>0.89400000000000002</v>
      </c>
    </row>
    <row r="17" spans="1:4" ht="15.5" x14ac:dyDescent="0.35">
      <c r="A17" s="13">
        <v>350</v>
      </c>
      <c r="B17">
        <v>1.41</v>
      </c>
      <c r="C17">
        <v>1.48</v>
      </c>
    </row>
    <row r="18" spans="1:4" ht="15.5" x14ac:dyDescent="0.35">
      <c r="A18" s="13">
        <v>700</v>
      </c>
      <c r="B18">
        <v>2.65</v>
      </c>
      <c r="C18">
        <v>2.86</v>
      </c>
    </row>
    <row r="20" spans="1:4" ht="15.5" x14ac:dyDescent="0.35">
      <c r="A20" s="14" t="s">
        <v>0</v>
      </c>
      <c r="B20" t="s">
        <v>51</v>
      </c>
      <c r="C20" t="s">
        <v>51</v>
      </c>
      <c r="D20" t="s">
        <v>55</v>
      </c>
    </row>
    <row r="21" spans="1:4" ht="15.5" x14ac:dyDescent="0.35">
      <c r="A21" s="12">
        <v>0.05</v>
      </c>
      <c r="B21">
        <f>B2/A21</f>
        <v>0.13059999999999999</v>
      </c>
      <c r="C21">
        <f>C2/A21</f>
        <v>0.1384</v>
      </c>
      <c r="D21">
        <f>(C21-B21)/C21</f>
        <v>5.6358381502890187E-2</v>
      </c>
    </row>
    <row r="22" spans="1:4" ht="15.5" x14ac:dyDescent="0.35">
      <c r="A22" s="13">
        <v>0.1</v>
      </c>
      <c r="B22">
        <f t="shared" ref="B22:B36" si="0">B3/A22</f>
        <v>8.4399999999999989E-2</v>
      </c>
      <c r="C22">
        <f t="shared" ref="C22:C37" si="1">C3/A22</f>
        <v>8.6199999999999985E-2</v>
      </c>
      <c r="D22">
        <f t="shared" ref="D22:D36" si="2">(C22-B22)/C22</f>
        <v>2.0881670533642649E-2</v>
      </c>
    </row>
    <row r="23" spans="1:4" ht="15.5" x14ac:dyDescent="0.35">
      <c r="A23" s="13">
        <v>0.2</v>
      </c>
      <c r="B23">
        <f t="shared" si="0"/>
        <v>4.9300000000000004E-2</v>
      </c>
      <c r="C23">
        <f t="shared" si="1"/>
        <v>5.7499999999999996E-2</v>
      </c>
      <c r="D23">
        <f t="shared" si="2"/>
        <v>0.14260869565217379</v>
      </c>
    </row>
    <row r="24" spans="1:4" ht="15.5" x14ac:dyDescent="0.35">
      <c r="A24" s="13">
        <v>0.35</v>
      </c>
      <c r="B24">
        <f t="shared" si="0"/>
        <v>3.9142857142857146E-2</v>
      </c>
      <c r="C24">
        <f t="shared" si="1"/>
        <v>4.1714285714285718E-2</v>
      </c>
      <c r="D24">
        <f t="shared" si="2"/>
        <v>6.164383561643836E-2</v>
      </c>
    </row>
    <row r="25" spans="1:4" ht="15.5" x14ac:dyDescent="0.35">
      <c r="A25" s="13">
        <v>0.7</v>
      </c>
      <c r="B25">
        <f t="shared" si="0"/>
        <v>2.8857142857142859E-2</v>
      </c>
      <c r="C25">
        <f t="shared" si="1"/>
        <v>2.9000000000000001E-2</v>
      </c>
      <c r="D25">
        <f t="shared" si="2"/>
        <v>4.9261083743842235E-3</v>
      </c>
    </row>
    <row r="26" spans="1:4" ht="15.5" x14ac:dyDescent="0.35">
      <c r="A26" s="13">
        <v>1</v>
      </c>
      <c r="B26">
        <f t="shared" si="0"/>
        <v>2.3400000000000001E-2</v>
      </c>
      <c r="C26">
        <f t="shared" si="1"/>
        <v>2.4199999999999999E-2</v>
      </c>
      <c r="D26">
        <f t="shared" si="2"/>
        <v>3.3057851239669367E-2</v>
      </c>
    </row>
    <row r="27" spans="1:4" ht="15.5" x14ac:dyDescent="0.35">
      <c r="A27" s="13">
        <v>2</v>
      </c>
      <c r="C27">
        <f t="shared" si="1"/>
        <v>1.7649999999999999E-2</v>
      </c>
    </row>
    <row r="28" spans="1:4" ht="15.5" x14ac:dyDescent="0.35">
      <c r="A28" s="13">
        <v>3.5</v>
      </c>
      <c r="C28">
        <f t="shared" si="1"/>
        <v>1.3742857142857142E-2</v>
      </c>
    </row>
    <row r="29" spans="1:4" ht="15.5" x14ac:dyDescent="0.35">
      <c r="A29" s="13">
        <v>7</v>
      </c>
      <c r="C29">
        <f t="shared" si="1"/>
        <v>1.0242857142857142E-2</v>
      </c>
    </row>
    <row r="30" spans="1:4" ht="15.5" x14ac:dyDescent="0.35">
      <c r="A30" s="13">
        <v>10</v>
      </c>
      <c r="C30">
        <f t="shared" si="1"/>
        <v>9.1000000000000004E-3</v>
      </c>
    </row>
    <row r="31" spans="1:4" ht="15.5" x14ac:dyDescent="0.35">
      <c r="A31" s="13">
        <v>20</v>
      </c>
      <c r="C31">
        <f t="shared" si="1"/>
        <v>7.2499999999999995E-3</v>
      </c>
    </row>
    <row r="32" spans="1:4" ht="15.5" x14ac:dyDescent="0.35">
      <c r="A32" s="13">
        <v>35</v>
      </c>
      <c r="B32">
        <f t="shared" si="0"/>
        <v>7.5428571428571428E-3</v>
      </c>
      <c r="C32">
        <f t="shared" si="1"/>
        <v>6.2285714285714288E-3</v>
      </c>
      <c r="D32">
        <f t="shared" si="2"/>
        <v>-0.21100917431192656</v>
      </c>
    </row>
    <row r="33" spans="1:4" ht="15.5" x14ac:dyDescent="0.35">
      <c r="A33" s="13">
        <v>70</v>
      </c>
      <c r="B33">
        <f t="shared" si="0"/>
        <v>5.8285714285714286E-3</v>
      </c>
      <c r="C33">
        <f t="shared" si="1"/>
        <v>5.2857142857142859E-3</v>
      </c>
      <c r="D33">
        <f t="shared" si="2"/>
        <v>-0.10270270270270267</v>
      </c>
    </row>
    <row r="34" spans="1:4" ht="15.5" x14ac:dyDescent="0.35">
      <c r="A34" s="13">
        <v>100</v>
      </c>
      <c r="B34">
        <f t="shared" si="0"/>
        <v>5.3300000000000005E-3</v>
      </c>
      <c r="C34">
        <f t="shared" si="1"/>
        <v>4.9300000000000004E-3</v>
      </c>
      <c r="D34">
        <f t="shared" si="2"/>
        <v>-8.1135902636916862E-2</v>
      </c>
    </row>
    <row r="35" spans="1:4" ht="15.5" x14ac:dyDescent="0.35">
      <c r="A35" s="13">
        <v>200</v>
      </c>
      <c r="B35">
        <f t="shared" si="0"/>
        <v>4.64E-3</v>
      </c>
      <c r="C35">
        <f t="shared" si="1"/>
        <v>4.47E-3</v>
      </c>
      <c r="D35">
        <f t="shared" si="2"/>
        <v>-3.8031319910514547E-2</v>
      </c>
    </row>
    <row r="36" spans="1:4" ht="15.5" x14ac:dyDescent="0.35">
      <c r="A36" s="13">
        <v>350</v>
      </c>
      <c r="B36">
        <f t="shared" si="0"/>
        <v>4.0285714285714282E-3</v>
      </c>
      <c r="C36">
        <f t="shared" si="1"/>
        <v>4.2285714285714288E-3</v>
      </c>
      <c r="D36">
        <f t="shared" si="2"/>
        <v>4.7297297297297418E-2</v>
      </c>
    </row>
    <row r="37" spans="1:4" ht="15.5" x14ac:dyDescent="0.35">
      <c r="A37" s="13">
        <v>700</v>
      </c>
      <c r="C37">
        <f t="shared" si="1"/>
        <v>4.0857142857142854E-3</v>
      </c>
    </row>
    <row r="38" spans="1:4" x14ac:dyDescent="0.35">
      <c r="D38">
        <f>AVERAGE(D21:D37)</f>
        <v>-6.0095690314149663E-3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8CAB-B78B-48C6-AC0E-775D23C61342}">
  <dimension ref="A1:D38"/>
  <sheetViews>
    <sheetView workbookViewId="0">
      <selection sqref="A1:XFD1"/>
    </sheetView>
  </sheetViews>
  <sheetFormatPr defaultRowHeight="14.5" x14ac:dyDescent="0.35"/>
  <cols>
    <col min="1" max="1" width="15.81640625" bestFit="1" customWidth="1"/>
    <col min="2" max="3" width="10.81640625" bestFit="1" customWidth="1"/>
  </cols>
  <sheetData>
    <row r="1" spans="1:3" ht="15.5" x14ac:dyDescent="0.35">
      <c r="A1" s="1" t="s">
        <v>0</v>
      </c>
      <c r="B1" s="1" t="s">
        <v>1</v>
      </c>
      <c r="C1" s="20" t="s">
        <v>1</v>
      </c>
    </row>
    <row r="2" spans="1:3" ht="15.5" x14ac:dyDescent="0.35">
      <c r="A2" s="12"/>
      <c r="B2">
        <v>5.3600000000000002E-3</v>
      </c>
      <c r="C2">
        <v>3.9300000000000003E-3</v>
      </c>
    </row>
    <row r="3" spans="1:3" ht="15.5" x14ac:dyDescent="0.35">
      <c r="A3" s="13">
        <v>0.1</v>
      </c>
      <c r="B3">
        <v>7.1599999999999997E-3</v>
      </c>
      <c r="C3">
        <v>4.9399999999999999E-3</v>
      </c>
    </row>
    <row r="4" spans="1:3" ht="15.5" x14ac:dyDescent="0.35">
      <c r="A4" s="13">
        <v>0.2</v>
      </c>
      <c r="B4">
        <v>9.3500000000000007E-3</v>
      </c>
      <c r="C4">
        <v>6.4599999999999996E-3</v>
      </c>
    </row>
    <row r="5" spans="1:3" ht="15.5" x14ac:dyDescent="0.35">
      <c r="A5" s="13">
        <v>0.35</v>
      </c>
      <c r="B5">
        <v>1.2800000000000001E-2</v>
      </c>
      <c r="C5">
        <v>8.8699999999999994E-3</v>
      </c>
    </row>
    <row r="6" spans="1:3" ht="15.5" x14ac:dyDescent="0.35">
      <c r="A6" s="13">
        <v>0.7</v>
      </c>
      <c r="B6">
        <v>1.7399999999999999E-2</v>
      </c>
      <c r="C6">
        <v>1.2699999999999999E-2</v>
      </c>
    </row>
    <row r="7" spans="1:3" ht="15.5" x14ac:dyDescent="0.35">
      <c r="A7" s="13">
        <v>1</v>
      </c>
      <c r="B7">
        <v>2.0899999999999998E-2</v>
      </c>
      <c r="C7">
        <v>1.5699999999999999E-2</v>
      </c>
    </row>
    <row r="8" spans="1:3" ht="15.5" x14ac:dyDescent="0.35">
      <c r="A8" s="13">
        <v>2</v>
      </c>
      <c r="B8">
        <v>3.0499999999999999E-2</v>
      </c>
      <c r="C8">
        <v>2.3800000000000002E-2</v>
      </c>
    </row>
    <row r="9" spans="1:3" ht="15.5" x14ac:dyDescent="0.35">
      <c r="A9" s="13">
        <v>3.5</v>
      </c>
      <c r="B9">
        <v>4.0500000000000001E-2</v>
      </c>
      <c r="C9">
        <v>3.32E-2</v>
      </c>
    </row>
    <row r="10" spans="1:3" ht="15.5" x14ac:dyDescent="0.35">
      <c r="A10" s="13">
        <v>7</v>
      </c>
      <c r="B10">
        <v>6.2700000000000006E-2</v>
      </c>
      <c r="C10">
        <v>5.1700000000000003E-2</v>
      </c>
    </row>
    <row r="11" spans="1:3" ht="15.5" x14ac:dyDescent="0.35">
      <c r="A11" s="13">
        <v>10</v>
      </c>
      <c r="B11">
        <v>7.9000000000000001E-2</v>
      </c>
      <c r="C11">
        <v>6.6199999999999995E-2</v>
      </c>
    </row>
    <row r="12" spans="1:3" ht="15.5" x14ac:dyDescent="0.35">
      <c r="A12" s="13">
        <v>20</v>
      </c>
      <c r="B12">
        <v>0.129</v>
      </c>
      <c r="C12">
        <v>0.109</v>
      </c>
    </row>
    <row r="13" spans="1:3" ht="15.5" x14ac:dyDescent="0.35">
      <c r="A13" s="13">
        <v>35</v>
      </c>
      <c r="B13">
        <v>0.1948</v>
      </c>
      <c r="C13">
        <v>0.16700000000000001</v>
      </c>
    </row>
    <row r="14" spans="1:3" ht="15.5" x14ac:dyDescent="0.35">
      <c r="A14" s="13">
        <v>70</v>
      </c>
      <c r="B14">
        <v>0.3322</v>
      </c>
      <c r="C14">
        <v>0.28989999999999999</v>
      </c>
    </row>
    <row r="15" spans="1:3" ht="15.5" x14ac:dyDescent="0.35">
      <c r="A15" s="13">
        <v>100</v>
      </c>
      <c r="B15">
        <v>0.44440000000000002</v>
      </c>
      <c r="C15">
        <v>0.38900000000000001</v>
      </c>
    </row>
    <row r="16" spans="1:3" ht="15.5" x14ac:dyDescent="0.35">
      <c r="A16" s="13">
        <v>200</v>
      </c>
      <c r="B16">
        <v>0.81100000000000005</v>
      </c>
      <c r="C16">
        <v>0.70899999999999996</v>
      </c>
    </row>
    <row r="17" spans="1:4" ht="15.5" x14ac:dyDescent="0.35">
      <c r="A17" s="13">
        <v>350</v>
      </c>
      <c r="B17">
        <v>1.35</v>
      </c>
      <c r="C17">
        <v>1.18</v>
      </c>
    </row>
    <row r="18" spans="1:4" ht="15.5" x14ac:dyDescent="0.35">
      <c r="A18" s="13">
        <v>700</v>
      </c>
      <c r="B18">
        <v>2.73</v>
      </c>
      <c r="C18">
        <v>2.65</v>
      </c>
    </row>
    <row r="20" spans="1:4" ht="15.5" x14ac:dyDescent="0.35">
      <c r="A20" s="14" t="s">
        <v>0</v>
      </c>
      <c r="B20" t="s">
        <v>51</v>
      </c>
      <c r="C20" t="s">
        <v>64</v>
      </c>
      <c r="D20" s="41" t="s">
        <v>65</v>
      </c>
    </row>
    <row r="21" spans="1:4" ht="15.5" x14ac:dyDescent="0.35">
      <c r="A21" s="12">
        <v>0.05</v>
      </c>
      <c r="B21">
        <f>B2/A21</f>
        <v>0.1072</v>
      </c>
      <c r="C21">
        <f>C2/A21</f>
        <v>7.8600000000000003E-2</v>
      </c>
      <c r="D21">
        <f>(C21-B21)/C21</f>
        <v>-0.36386768447837148</v>
      </c>
    </row>
    <row r="22" spans="1:4" ht="15.5" x14ac:dyDescent="0.35">
      <c r="A22" s="13">
        <v>0.1</v>
      </c>
      <c r="B22">
        <f t="shared" ref="B22:B37" si="0">B3/A22</f>
        <v>7.1599999999999997E-2</v>
      </c>
      <c r="C22">
        <f t="shared" ref="C22:C37" si="1">C3/A22</f>
        <v>4.9399999999999999E-2</v>
      </c>
      <c r="D22">
        <f t="shared" ref="D22:D37" si="2">(C22-B22)/C22</f>
        <v>-0.44939271255060725</v>
      </c>
    </row>
    <row r="23" spans="1:4" ht="15.5" x14ac:dyDescent="0.35">
      <c r="A23" s="13">
        <v>0.2</v>
      </c>
      <c r="B23">
        <f t="shared" si="0"/>
        <v>4.675E-2</v>
      </c>
      <c r="C23">
        <f t="shared" si="1"/>
        <v>3.2299999999999995E-2</v>
      </c>
      <c r="D23">
        <f t="shared" si="2"/>
        <v>-0.4473684210526318</v>
      </c>
    </row>
    <row r="24" spans="1:4" ht="15.5" x14ac:dyDescent="0.35">
      <c r="A24" s="13">
        <v>0.35</v>
      </c>
      <c r="B24">
        <f t="shared" si="0"/>
        <v>3.6571428571428574E-2</v>
      </c>
      <c r="C24">
        <f t="shared" si="1"/>
        <v>2.5342857142857143E-2</v>
      </c>
      <c r="D24">
        <f t="shared" si="2"/>
        <v>-0.44306651634723798</v>
      </c>
    </row>
    <row r="25" spans="1:4" ht="15.5" x14ac:dyDescent="0.35">
      <c r="A25" s="13">
        <v>0.7</v>
      </c>
      <c r="B25">
        <f t="shared" si="0"/>
        <v>2.4857142857142855E-2</v>
      </c>
      <c r="C25">
        <f t="shared" si="1"/>
        <v>1.8142857142857145E-2</v>
      </c>
      <c r="D25">
        <f t="shared" si="2"/>
        <v>-0.3700787401574801</v>
      </c>
    </row>
    <row r="26" spans="1:4" ht="15.5" x14ac:dyDescent="0.35">
      <c r="A26" s="13">
        <v>1</v>
      </c>
      <c r="B26">
        <f t="shared" si="0"/>
        <v>2.0899999999999998E-2</v>
      </c>
      <c r="C26">
        <f t="shared" si="1"/>
        <v>1.5699999999999999E-2</v>
      </c>
      <c r="D26">
        <f t="shared" si="2"/>
        <v>-0.33121019108280259</v>
      </c>
    </row>
    <row r="27" spans="1:4" ht="15.5" x14ac:dyDescent="0.35">
      <c r="A27" s="13">
        <v>2</v>
      </c>
      <c r="B27">
        <f t="shared" si="0"/>
        <v>1.525E-2</v>
      </c>
      <c r="C27">
        <f t="shared" si="1"/>
        <v>1.1900000000000001E-2</v>
      </c>
      <c r="D27">
        <f t="shared" si="2"/>
        <v>-0.28151260504201669</v>
      </c>
    </row>
    <row r="28" spans="1:4" ht="15.5" x14ac:dyDescent="0.35">
      <c r="A28" s="13">
        <v>3.5</v>
      </c>
      <c r="B28">
        <f t="shared" si="0"/>
        <v>1.1571428571428571E-2</v>
      </c>
      <c r="C28">
        <f t="shared" si="1"/>
        <v>9.4857142857142866E-3</v>
      </c>
      <c r="D28">
        <f t="shared" si="2"/>
        <v>-0.219879518072289</v>
      </c>
    </row>
    <row r="29" spans="1:4" ht="15.5" x14ac:dyDescent="0.35">
      <c r="A29" s="13">
        <v>7</v>
      </c>
      <c r="B29">
        <f t="shared" si="0"/>
        <v>8.957142857142858E-3</v>
      </c>
      <c r="C29">
        <f t="shared" si="1"/>
        <v>7.3857142857142863E-3</v>
      </c>
      <c r="D29">
        <f t="shared" si="2"/>
        <v>-0.21276595744680854</v>
      </c>
    </row>
    <row r="30" spans="1:4" ht="15.5" x14ac:dyDescent="0.35">
      <c r="A30" s="13">
        <v>10</v>
      </c>
      <c r="B30">
        <f t="shared" si="0"/>
        <v>7.9000000000000008E-3</v>
      </c>
      <c r="C30">
        <f t="shared" si="1"/>
        <v>6.6199999999999991E-3</v>
      </c>
      <c r="D30">
        <f t="shared" si="2"/>
        <v>-0.19335347432024197</v>
      </c>
    </row>
    <row r="31" spans="1:4" ht="15.5" x14ac:dyDescent="0.35">
      <c r="A31" s="13">
        <v>20</v>
      </c>
      <c r="B31">
        <f t="shared" si="0"/>
        <v>6.45E-3</v>
      </c>
      <c r="C31">
        <f t="shared" si="1"/>
        <v>5.45E-3</v>
      </c>
      <c r="D31">
        <f t="shared" si="2"/>
        <v>-0.1834862385321101</v>
      </c>
    </row>
    <row r="32" spans="1:4" ht="15.5" x14ac:dyDescent="0.35">
      <c r="A32" s="13">
        <v>35</v>
      </c>
      <c r="B32">
        <f t="shared" si="0"/>
        <v>5.5657142857142858E-3</v>
      </c>
      <c r="C32">
        <f t="shared" si="1"/>
        <v>4.7714285714285714E-3</v>
      </c>
      <c r="D32">
        <f t="shared" si="2"/>
        <v>-0.16646706586826349</v>
      </c>
    </row>
    <row r="33" spans="1:4" ht="15.5" x14ac:dyDescent="0.35">
      <c r="A33" s="13">
        <v>70</v>
      </c>
      <c r="B33">
        <f t="shared" si="0"/>
        <v>4.7457142857142854E-3</v>
      </c>
      <c r="C33">
        <f t="shared" si="1"/>
        <v>4.1414285714285711E-3</v>
      </c>
      <c r="D33">
        <f t="shared" si="2"/>
        <v>-0.14591238358054504</v>
      </c>
    </row>
    <row r="34" spans="1:4" ht="15.5" x14ac:dyDescent="0.35">
      <c r="A34" s="13">
        <v>100</v>
      </c>
      <c r="B34">
        <f t="shared" si="0"/>
        <v>4.444E-3</v>
      </c>
      <c r="C34">
        <f t="shared" si="1"/>
        <v>3.8900000000000002E-3</v>
      </c>
      <c r="D34">
        <f>(C34-B34)/C34</f>
        <v>-0.14241645244215934</v>
      </c>
    </row>
    <row r="35" spans="1:4" ht="15.5" x14ac:dyDescent="0.35">
      <c r="A35" s="13">
        <v>200</v>
      </c>
      <c r="B35">
        <f t="shared" si="0"/>
        <v>4.0550000000000004E-3</v>
      </c>
      <c r="C35">
        <f t="shared" si="1"/>
        <v>3.545E-3</v>
      </c>
      <c r="D35">
        <f t="shared" si="2"/>
        <v>-0.14386459802538801</v>
      </c>
    </row>
    <row r="36" spans="1:4" ht="15.5" x14ac:dyDescent="0.35">
      <c r="A36" s="13">
        <v>350</v>
      </c>
      <c r="B36">
        <f t="shared" si="0"/>
        <v>3.8571428571428576E-3</v>
      </c>
      <c r="C36">
        <f t="shared" si="1"/>
        <v>3.3714285714285712E-3</v>
      </c>
      <c r="D36">
        <f t="shared" si="2"/>
        <v>-0.14406779661016969</v>
      </c>
    </row>
    <row r="37" spans="1:4" ht="15.5" x14ac:dyDescent="0.35">
      <c r="A37" s="13">
        <v>700</v>
      </c>
      <c r="B37">
        <f t="shared" si="0"/>
        <v>3.8999999999999998E-3</v>
      </c>
      <c r="C37">
        <f t="shared" si="1"/>
        <v>3.7857142857142855E-3</v>
      </c>
      <c r="D37">
        <f t="shared" si="2"/>
        <v>-3.0188679245283033E-2</v>
      </c>
    </row>
    <row r="38" spans="1:4" x14ac:dyDescent="0.35">
      <c r="D38" s="38">
        <f>AVERAGE(D21:D37)*100</f>
        <v>-25.111170793261213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LAB Data</vt:lpstr>
      <vt:lpstr>Donor1 AY21</vt:lpstr>
      <vt:lpstr>Donor2 AY21</vt:lpstr>
      <vt:lpstr>Donor3 AY21</vt:lpstr>
      <vt:lpstr>Donor4 AY21</vt:lpstr>
      <vt:lpstr>Donor5 AY21</vt:lpstr>
      <vt:lpstr>Donor6 AY21</vt:lpstr>
      <vt:lpstr>Donor7 AY21</vt:lpstr>
      <vt:lpstr>Donor8 AY21</vt:lpstr>
      <vt:lpstr>Donor9 AY21</vt:lpstr>
      <vt:lpstr>Donor10 AY21</vt:lpstr>
      <vt:lpstr>Donor11 AY21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LTC</dc:creator>
  <cp:lastModifiedBy>Armstrong, Matthew LTC</cp:lastModifiedBy>
  <dcterms:created xsi:type="dcterms:W3CDTF">2020-07-08T19:46:15Z</dcterms:created>
  <dcterms:modified xsi:type="dcterms:W3CDTF">2021-05-26T18:27:39Z</dcterms:modified>
</cp:coreProperties>
</file>